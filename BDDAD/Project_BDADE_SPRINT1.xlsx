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20695_isep_ipp_pt/Documents/"/>
    </mc:Choice>
  </mc:AlternateContent>
  <xr:revisionPtr revIDLastSave="0" documentId="8_{659177FE-84DD-45F2-A685-C101E0030667}" xr6:coauthVersionLast="47" xr6:coauthVersionMax="47" xr10:uidLastSave="{00000000-0000-0000-0000-000000000000}"/>
  <bookViews>
    <workbookView xWindow="-120" yWindow="-120" windowWidth="29040" windowHeight="16440" firstSheet="10" activeTab="9" xr2:uid="{96054C54-0AC6-4E0E-AB4B-5CA509897BDA}"/>
  </bookViews>
  <sheets>
    <sheet name="Clients" sheetId="1" r:id="rId1"/>
    <sheet name="Products" sheetId="8" r:id="rId2"/>
    <sheet name="ProductFamily" sheetId="9" r:id="rId3"/>
    <sheet name="Orders" sheetId="2" r:id="rId4"/>
    <sheet name="Product_Orders" sheetId="11" r:id="rId5"/>
    <sheet name="Operations" sheetId="3" r:id="rId6"/>
    <sheet name="WorkstationTypes" sheetId="4" r:id="rId7"/>
    <sheet name="WorkstationTypes_Operation" sheetId="10" r:id="rId8"/>
    <sheet name="Workstations" sheetId="5" r:id="rId9"/>
    <sheet name="BOM" sheetId="6" r:id="rId10"/>
    <sheet name="BOO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2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" i="10"/>
  <c r="F3" i="4"/>
  <c r="F4" i="4"/>
  <c r="F5" i="4"/>
  <c r="F6" i="4"/>
  <c r="F7" i="4"/>
  <c r="F8" i="4"/>
  <c r="F9" i="4"/>
  <c r="F10" i="4"/>
  <c r="F11" i="4"/>
  <c r="F12" i="4"/>
  <c r="F13" i="4"/>
  <c r="F14" i="4"/>
  <c r="F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" i="3"/>
  <c r="H3" i="11"/>
  <c r="H4" i="11"/>
  <c r="H5" i="11"/>
  <c r="H6" i="11"/>
  <c r="H7" i="11"/>
  <c r="H8" i="11"/>
  <c r="H9" i="11"/>
  <c r="H10" i="11"/>
  <c r="H11" i="11"/>
  <c r="H12" i="11"/>
  <c r="H13" i="11"/>
  <c r="H14" i="11"/>
  <c r="H2" i="11"/>
  <c r="H4" i="2"/>
  <c r="H6" i="2"/>
  <c r="H8" i="2"/>
  <c r="H11" i="2"/>
  <c r="H12" i="2"/>
  <c r="H14" i="2"/>
  <c r="H2" i="2"/>
  <c r="F3" i="9"/>
  <c r="F4" i="9"/>
  <c r="F5" i="9"/>
  <c r="F6" i="9"/>
  <c r="F2" i="9"/>
  <c r="H3" i="8"/>
  <c r="H4" i="8"/>
  <c r="H5" i="8"/>
  <c r="H6" i="8"/>
  <c r="H7" i="8"/>
  <c r="H8" i="8"/>
  <c r="H2" i="8"/>
  <c r="M3" i="1"/>
  <c r="M4" i="1"/>
  <c r="M5" i="1"/>
  <c r="M2" i="1"/>
</calcChain>
</file>

<file path=xl/sharedStrings.xml><?xml version="1.0" encoding="utf-8"?>
<sst xmlns="http://schemas.openxmlformats.org/spreadsheetml/2006/main" count="341" uniqueCount="180">
  <si>
    <t>ClientID</t>
  </si>
  <si>
    <t>Name</t>
  </si>
  <si>
    <t>VATIN</t>
  </si>
  <si>
    <t>Address</t>
  </si>
  <si>
    <t>ZIP</t>
  </si>
  <si>
    <t>Town</t>
  </si>
  <si>
    <t>Country</t>
  </si>
  <si>
    <t>Email</t>
  </si>
  <si>
    <t>Phone</t>
  </si>
  <si>
    <t>Client</t>
  </si>
  <si>
    <t>Carvalho &amp; Carvalho, Lda</t>
  </si>
  <si>
    <t>PT501245987</t>
  </si>
  <si>
    <t>Tv. Augusto Lessa 23</t>
  </si>
  <si>
    <t>4200-047</t>
  </si>
  <si>
    <t>Porto</t>
  </si>
  <si>
    <t>Portugal</t>
  </si>
  <si>
    <t>idont@care.com</t>
  </si>
  <si>
    <t>003518340500</t>
  </si>
  <si>
    <t>Tudo para a casa, Lda</t>
  </si>
  <si>
    <t>PT501245488</t>
  </si>
  <si>
    <t>R. Dr. Barros 93</t>
  </si>
  <si>
    <t>4465-219</t>
  </si>
  <si>
    <t>São Mamede de Infesta</t>
  </si>
  <si>
    <t>me@neither.com</t>
  </si>
  <si>
    <t>Sair de Cena</t>
  </si>
  <si>
    <t>PT501242417</t>
  </si>
  <si>
    <t>EDIFICIO CRISTAL lj18, R. António Correia de Carvalho 88</t>
  </si>
  <si>
    <t>4400-023</t>
  </si>
  <si>
    <t>Vila Nova de Gaia</t>
  </si>
  <si>
    <t>some@email.com</t>
  </si>
  <si>
    <t>U Fleku</t>
  </si>
  <si>
    <t>CZ6451237810</t>
  </si>
  <si>
    <t>Křemencova 11</t>
  </si>
  <si>
    <t>110 00</t>
  </si>
  <si>
    <t>Nové Město</t>
  </si>
  <si>
    <t>Czechia</t>
  </si>
  <si>
    <t>some.random@email.cz</t>
  </si>
  <si>
    <t>004201234567</t>
  </si>
  <si>
    <t>ProductID</t>
  </si>
  <si>
    <t>Description</t>
  </si>
  <si>
    <t>FamilyID</t>
  </si>
  <si>
    <t>Product</t>
  </si>
  <si>
    <t>AS12945T22</t>
  </si>
  <si>
    <t>La Belle 22 5l pot</t>
  </si>
  <si>
    <t>5l 22 cm aluminium and teflon non stick pot</t>
  </si>
  <si>
    <t>AS12945S22</t>
  </si>
  <si>
    <t>Pro 22 5l pot</t>
  </si>
  <si>
    <t>5l 22 cm stainless steel pot</t>
  </si>
  <si>
    <t>AS12945S20</t>
  </si>
  <si>
    <t>Pro 20 3l pot</t>
  </si>
  <si>
    <t>3l 20 cm stainless steel pot</t>
  </si>
  <si>
    <t>AS12945S17</t>
  </si>
  <si>
    <t>Pro 17 2l pot</t>
  </si>
  <si>
    <t>2l 17 cm stainless steel pot</t>
  </si>
  <si>
    <t>AS12945P17</t>
  </si>
  <si>
    <t>Pro 17 2l sauce pan</t>
  </si>
  <si>
    <t>2l 17 cm stainless steel souce pan</t>
  </si>
  <si>
    <t>AS12945S48</t>
  </si>
  <si>
    <t>Pro 17 lid</t>
  </si>
  <si>
    <t>17 cm stainless steel lid</t>
  </si>
  <si>
    <t>AS12945G48</t>
  </si>
  <si>
    <t>Pro Clear 17 lid</t>
  </si>
  <si>
    <t>17 cm glass lid</t>
  </si>
  <si>
    <t>Product_Family</t>
  </si>
  <si>
    <t>Pro Line pots</t>
  </si>
  <si>
    <t>La Belle pots</t>
  </si>
  <si>
    <t>Pro Line pans</t>
  </si>
  <si>
    <t>Pro Line lids</t>
  </si>
  <si>
    <t>Pro Clear lids</t>
  </si>
  <si>
    <t>OrderID</t>
  </si>
  <si>
    <t>DateOrder</t>
  </si>
  <si>
    <t>DateDelivery</t>
  </si>
  <si>
    <t>Orders</t>
  </si>
  <si>
    <t>QuantityProducts</t>
  </si>
  <si>
    <t>Product_Orders</t>
  </si>
  <si>
    <t>OPID</t>
  </si>
  <si>
    <t>WTID</t>
  </si>
  <si>
    <t>Operation</t>
  </si>
  <si>
    <t>Disc cutting</t>
  </si>
  <si>
    <t>A4578</t>
  </si>
  <si>
    <t>A4588</t>
  </si>
  <si>
    <t>A4598</t>
  </si>
  <si>
    <t>Initial pot base pressing</t>
  </si>
  <si>
    <t>Final pot base pressing</t>
  </si>
  <si>
    <t>Pot base finishing</t>
  </si>
  <si>
    <t>C5637</t>
  </si>
  <si>
    <t>Lid pressing</t>
  </si>
  <si>
    <t>Lid finishing</t>
  </si>
  <si>
    <t>Pot handles riveting</t>
  </si>
  <si>
    <t>S3271</t>
  </si>
  <si>
    <t>Lid handle screw</t>
  </si>
  <si>
    <t>T3452</t>
  </si>
  <si>
    <t>Pot test and packaging</t>
  </si>
  <si>
    <t>K3675</t>
  </si>
  <si>
    <t>Handle welding</t>
  </si>
  <si>
    <t>D9123</t>
  </si>
  <si>
    <t>Lid polishing</t>
  </si>
  <si>
    <t>Q3547</t>
  </si>
  <si>
    <t>Pot base polishing</t>
  </si>
  <si>
    <t>Teflon painting</t>
  </si>
  <si>
    <t>Q5478</t>
  </si>
  <si>
    <t>Initial pan base pressing</t>
  </si>
  <si>
    <t>Final pan base pressing</t>
  </si>
  <si>
    <t>Pan base finishing</t>
  </si>
  <si>
    <t>Pan test and packaging</t>
  </si>
  <si>
    <t>WorkstationTypes</t>
  </si>
  <si>
    <t>600t cold forging stamping press</t>
  </si>
  <si>
    <t>600t cold forging precision stamping press</t>
  </si>
  <si>
    <t>1000t cold forging precision stamping press</t>
  </si>
  <si>
    <t>Handle rivet</t>
  </si>
  <si>
    <t>Packaging</t>
  </si>
  <si>
    <t>K3676</t>
  </si>
  <si>
    <t>Packaging for large itens</t>
  </si>
  <si>
    <t>Border trimming</t>
  </si>
  <si>
    <t>Spot welding</t>
  </si>
  <si>
    <t>Teflon application station</t>
  </si>
  <si>
    <t>Stainless steel polishing</t>
  </si>
  <si>
    <t>Assembly T1</t>
  </si>
  <si>
    <t>G9273</t>
  </si>
  <si>
    <t>Circular glass cutting</t>
  </si>
  <si>
    <t>G9274</t>
  </si>
  <si>
    <t>Glass trimming</t>
  </si>
  <si>
    <t>WorkstationTypes_Operation</t>
  </si>
  <si>
    <t>WSID</t>
  </si>
  <si>
    <t>Workstations</t>
  </si>
  <si>
    <t>Press 01</t>
  </si>
  <si>
    <t>220-630t cold forging press</t>
  </si>
  <si>
    <t>Press 02</t>
  </si>
  <si>
    <t>Press 03</t>
  </si>
  <si>
    <t>220-630t precision cold forging press</t>
  </si>
  <si>
    <t>Press 04</t>
  </si>
  <si>
    <t>160-1000t precison cold forging press</t>
  </si>
  <si>
    <t>Rivet 02</t>
  </si>
  <si>
    <t>Rivet station</t>
  </si>
  <si>
    <t>Rivet 03</t>
  </si>
  <si>
    <t>Packaging 01</t>
  </si>
  <si>
    <t>Packaging station</t>
  </si>
  <si>
    <t>Packaging 02</t>
  </si>
  <si>
    <t>Packaging 03</t>
  </si>
  <si>
    <t>Packaging 04</t>
  </si>
  <si>
    <t>Packaging 05</t>
  </si>
  <si>
    <t>Welding 01</t>
  </si>
  <si>
    <t>Spot welding staion</t>
  </si>
  <si>
    <t>Welding 02</t>
  </si>
  <si>
    <t>Welding 03</t>
  </si>
  <si>
    <t>Assembly 01</t>
  </si>
  <si>
    <t>Product assembly station</t>
  </si>
  <si>
    <t>Assembly 02</t>
  </si>
  <si>
    <t>Assembly 03</t>
  </si>
  <si>
    <t>Trimming 01</t>
  </si>
  <si>
    <t>Metal trimming station</t>
  </si>
  <si>
    <t>Polishing 01</t>
  </si>
  <si>
    <t>Metal polishing station</t>
  </si>
  <si>
    <t>Polishing 02</t>
  </si>
  <si>
    <t>Polishing 03</t>
  </si>
  <si>
    <t>PartNumber</t>
  </si>
  <si>
    <t>Quantity</t>
  </si>
  <si>
    <t>BOM</t>
  </si>
  <si>
    <t>PN12344A21</t>
  </si>
  <si>
    <t>Screw M6 35 mm</t>
  </si>
  <si>
    <t>PN52384R50</t>
  </si>
  <si>
    <t>300x300 mm 5mm stainless steel sheet</t>
  </si>
  <si>
    <t>PN52384R10</t>
  </si>
  <si>
    <t>300x300 mm 1mm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</si>
  <si>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</si>
  <si>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</si>
  <si>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</si>
  <si>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</si>
  <si>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</si>
  <si>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</si>
  <si>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PN18324C51</t>
  </si>
  <si>
    <t>Stainless steel handle model R11</t>
  </si>
  <si>
    <t>PN52384R45</t>
  </si>
  <si>
    <t>250x250 mm 5mm stainless steel sheet</t>
  </si>
  <si>
    <t>PN52384R12</t>
  </si>
  <si>
    <t>250x250 mm 1mm stainless steel sheet</t>
  </si>
  <si>
    <t>PN18324C91</t>
  </si>
  <si>
    <t>Stainless steel handle model S26</t>
  </si>
  <si>
    <t>OPNumber</t>
  </si>
  <si>
    <t>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</si>
</sst>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M5"/>
  <sheetViews>
    <sheetView zoomScale="96" zoomScaleNormal="96" workbookViewId="0">
      <selection activeCell="M2" sqref="M2:M5"/>
    </sheetView>
  </sheetViews>
  <sheetFormatPr defaultRowHeight="15"/>
  <cols>
    <col min="2" max="2" width="22.85546875" bestFit="1" customWidth="1"/>
    <col min="3" max="3" width="13.85546875" customWidth="1"/>
    <col min="4" max="4" width="47" bestFit="1" customWidth="1"/>
    <col min="5" max="5" width="10.7109375" customWidth="1"/>
    <col min="6" max="6" width="19.5703125" bestFit="1" customWidth="1"/>
    <col min="7" max="7" width="11.42578125" customWidth="1"/>
    <col min="8" max="8" width="20.5703125" bestFit="1" customWidth="1"/>
    <col min="9" max="9" width="12.8554687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 t="s">
        <v>9</v>
      </c>
    </row>
    <row r="2" spans="1:13">
      <c r="A2">
        <v>456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M2" s="3" t="str">
        <f>"INSERT INTO " &amp; $M$1 &amp; "(" &amp; $A$1 &amp; ", " &amp;$B$1 &amp; ", " &amp;$C$1  &amp; ", " &amp; $D$1 &amp;", " &amp; $E$1 &amp;", " &amp; $F$1 &amp;", " &amp; $G$1 &amp;", " &amp; $H$1 &amp;", " &amp; $I$1 &amp;") values (" &amp; A2 &amp; ", '" &amp; B2 &amp; "', '" &amp; C2 &amp; "', '" &amp; D2 &amp; "', '" &amp; E2 &amp; "', '" &amp; F2 &amp; "', '" &amp; G2 &amp; "', '" &amp; H2 &amp; "', " &amp; I2 &amp; ");"</f>
        <v>INSERT INTO Client(ClientID, Name, VATIN, Address, ZIP, Town, Country, Email, Phone) values (456, 'Carvalho &amp; Carvalho, Lda', 'PT501245987', 'Tv. Augusto Lessa 23', '4200-047', 'Porto', 'Portugal', 'idont@care.com', 003518340500);</v>
      </c>
    </row>
    <row r="3" spans="1:13">
      <c r="A3">
        <v>785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17</v>
      </c>
      <c r="M3" s="3" t="str">
        <f t="shared" ref="M3:M5" si="0">"INSERT INTO " &amp; $M$1 &amp; "(" &amp; $A$1 &amp; ", " &amp;$B$1 &amp; ", " &amp;$C$1  &amp; ", " &amp; $D$1 &amp;", " &amp; $E$1 &amp;", " &amp; $F$1 &amp;", " &amp; $G$1 &amp;", " &amp; $H$1 &amp;", " &amp; $I$1 &amp;") values (" &amp; A3 &amp; ", '" &amp; B3 &amp; "', '" &amp; C3 &amp; "', '" &amp; D3 &amp; "', '" &amp; E3 &amp; "', '" &amp; F3 &amp; "', '" &amp; G3 &amp; "', '" &amp; H3 &amp; "', " &amp; I3 &amp; ");"</f>
        <v>INSERT INTO Client(ClientID, Name, VATIN, Address, ZIP, Town, Country, Email, Phone) values (785, 'Tudo para a casa, Lda', 'PT501245488', 'R. Dr. Barros 93', '4465-219', 'São Mamede de Infesta', 'Portugal', 'me@neither.com', 003518340500);</v>
      </c>
    </row>
    <row r="4" spans="1:13">
      <c r="A4">
        <v>657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 t="s">
        <v>29</v>
      </c>
      <c r="I4" t="s">
        <v>17</v>
      </c>
      <c r="M4" s="3" t="str">
        <f t="shared" si="0"/>
        <v>INSERT INTO Client(ClientID, Name, VATIN, Address, ZIP, Town, Country, Email, Phone) values (657, 'Sair de Cena', 'PT501242417', 'EDIFICIO CRISTAL lj18, R. António Correia de Carvalho 88', '4400-023', 'Vila Nova de Gaia', 'Portugal', 'some@email.com', 003518340500);</v>
      </c>
    </row>
    <row r="5" spans="1:13">
      <c r="A5">
        <v>348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s="2" t="s">
        <v>37</v>
      </c>
      <c r="M5" s="3" t="str">
        <f t="shared" si="0"/>
        <v>INSERT INTO Client(ClientID, Name, VATIN, Address, ZIP, Town, Country, Email, Phone) values (348, 'U Fleku', 'CZ6451237810', 'Křemencova 11', '110 00', 'Nové Město', 'Czechia', 'some.random@email.cz', 004201234567);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H8"/>
  <sheetViews>
    <sheetView workbookViewId="0">
      <selection activeCell="H2" sqref="H2:H8"/>
    </sheetView>
  </sheetViews>
  <sheetFormatPr defaultRowHeight="15"/>
  <cols>
    <col min="1" max="1" width="13.28515625" customWidth="1"/>
    <col min="2" max="2" width="23.42578125" customWidth="1"/>
    <col min="3" max="3" width="35.85546875" bestFit="1" customWidth="1"/>
  </cols>
  <sheetData>
    <row r="1" spans="1:8">
      <c r="A1" s="3" t="s">
        <v>38</v>
      </c>
      <c r="B1" s="3" t="s">
        <v>1</v>
      </c>
      <c r="C1" s="3" t="s">
        <v>39</v>
      </c>
      <c r="D1" s="3" t="s">
        <v>40</v>
      </c>
      <c r="E1" s="3"/>
      <c r="F1" s="3"/>
      <c r="G1" s="3"/>
      <c r="H1" s="3" t="s">
        <v>41</v>
      </c>
    </row>
    <row r="2" spans="1:8">
      <c r="A2" t="s">
        <v>42</v>
      </c>
      <c r="B2" t="s">
        <v>43</v>
      </c>
      <c r="C2" t="s">
        <v>44</v>
      </c>
      <c r="D2">
        <v>130</v>
      </c>
      <c r="H2" t="str">
        <f>"INSERT INTO " &amp; $H$1 &amp; "(" &amp; $A$1 &amp; ", " &amp;$B$1 &amp; ", " &amp;$C$1  &amp; ", " &amp;$D$1  &amp; ") values ('" &amp; A2 &amp; "', '" &amp; B2 &amp; "', '" &amp; C2 &amp; "', " &amp; D2 &amp; ");"</f>
        <v>INSERT INTO Product(ProductID, Name, Description, FamilyID) values ('AS12945T22', 'La Belle 22 5l pot', '5l 22 cm aluminium and teflon non stick pot', 130);</v>
      </c>
    </row>
    <row r="3" spans="1:8">
      <c r="A3" t="s">
        <v>45</v>
      </c>
      <c r="B3" t="s">
        <v>46</v>
      </c>
      <c r="C3" t="s">
        <v>47</v>
      </c>
      <c r="D3">
        <v>125</v>
      </c>
      <c r="H3" t="str">
        <f t="shared" ref="H3:H8" si="0">"INSERT INTO " &amp; $H$1 &amp; "(" &amp; $A$1 &amp; ", " &amp;$B$1 &amp; ", " &amp;$C$1  &amp; ", " &amp;$D$1  &amp; ") values ('" &amp; A3 &amp; "', '" &amp; B3 &amp; "', '" &amp; C3 &amp; "', " &amp; D3 &amp; ");"</f>
        <v>INSERT INTO Product(ProductID, Name, Description, FamilyID) values ('AS12945S22', 'Pro 22 5l pot', '5l 22 cm stainless steel pot', 125);</v>
      </c>
    </row>
    <row r="4" spans="1:8">
      <c r="A4" t="s">
        <v>48</v>
      </c>
      <c r="B4" t="s">
        <v>49</v>
      </c>
      <c r="C4" t="s">
        <v>50</v>
      </c>
      <c r="D4">
        <v>125</v>
      </c>
      <c r="H4" t="str">
        <f t="shared" si="0"/>
        <v>INSERT INTO Product(ProductID, Name, Description, FamilyID) values ('AS12945S20', 'Pro 20 3l pot', '3l 20 cm stainless steel pot', 125);</v>
      </c>
    </row>
    <row r="5" spans="1:8">
      <c r="A5" t="s">
        <v>51</v>
      </c>
      <c r="B5" t="s">
        <v>52</v>
      </c>
      <c r="C5" t="s">
        <v>53</v>
      </c>
      <c r="D5">
        <v>125</v>
      </c>
      <c r="H5" t="str">
        <f t="shared" si="0"/>
        <v>INSERT INTO Product(ProductID, Name, Description, FamilyID) values ('AS12945S17', 'Pro 17 2l pot', '2l 17 cm stainless steel pot', 125);</v>
      </c>
    </row>
    <row r="6" spans="1:8">
      <c r="A6" t="s">
        <v>54</v>
      </c>
      <c r="B6" t="s">
        <v>55</v>
      </c>
      <c r="C6" t="s">
        <v>56</v>
      </c>
      <c r="D6">
        <v>132</v>
      </c>
      <c r="H6" t="str">
        <f t="shared" si="0"/>
        <v>INSERT INTO Product(ProductID, Name, Description, FamilyID) values ('AS12945P17', 'Pro 17 2l sauce pan', '2l 17 cm stainless steel souce pan', 132);</v>
      </c>
    </row>
    <row r="7" spans="1:8">
      <c r="A7" t="s">
        <v>57</v>
      </c>
      <c r="B7" t="s">
        <v>58</v>
      </c>
      <c r="C7" t="s">
        <v>59</v>
      </c>
      <c r="D7">
        <v>145</v>
      </c>
      <c r="H7" t="str">
        <f t="shared" si="0"/>
        <v>INSERT INTO Product(ProductID, Name, Description, FamilyID) values ('AS12945S48', 'Pro 17 lid', '17 cm stainless steel lid', 145);</v>
      </c>
    </row>
    <row r="8" spans="1:8">
      <c r="A8" t="s">
        <v>60</v>
      </c>
      <c r="B8" t="s">
        <v>61</v>
      </c>
      <c r="C8" t="s">
        <v>62</v>
      </c>
      <c r="D8">
        <v>146</v>
      </c>
      <c r="H8" t="str">
        <f t="shared" si="0"/>
        <v>INSERT INTO Product(ProductID, Name, Description, FamilyID) values ('AS12945G48', 'Pro Clear 17 lid', '17 cm glass lid', 146);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3423-14BC-4B6A-8318-AD0C48152F2D}">
  <dimension ref="A1:F6"/>
  <sheetViews>
    <sheetView workbookViewId="0">
      <selection activeCell="F2" sqref="F2:F6"/>
    </sheetView>
  </sheetViews>
  <sheetFormatPr defaultRowHeight="15"/>
  <cols>
    <col min="2" max="2" width="14.140625" customWidth="1"/>
  </cols>
  <sheetData>
    <row r="1" spans="1:6">
      <c r="A1" s="3" t="s">
        <v>40</v>
      </c>
      <c r="B1" s="3" t="s">
        <v>1</v>
      </c>
      <c r="C1" s="3"/>
      <c r="D1" s="3"/>
      <c r="E1" s="3"/>
      <c r="F1" s="3" t="s">
        <v>63</v>
      </c>
    </row>
    <row r="2" spans="1:6">
      <c r="A2">
        <v>125</v>
      </c>
      <c r="B2" t="s">
        <v>64</v>
      </c>
      <c r="F2" t="str">
        <f>"INSERT INTO " &amp; $F$1 &amp; "(" &amp; $A$1 &amp; ", " &amp;$B$1 &amp; ") values (" &amp; A2 &amp; ", '" &amp; B2 &amp; "');"</f>
        <v>INSERT INTO Product_Family(FamilyID, Name) values (125, 'Pro Line pots');</v>
      </c>
    </row>
    <row r="3" spans="1:6">
      <c r="A3">
        <v>130</v>
      </c>
      <c r="B3" t="s">
        <v>65</v>
      </c>
      <c r="F3" t="str">
        <f t="shared" ref="F3:F6" si="0">"INSERT INTO " &amp; $F$1 &amp; "(" &amp; $A$1 &amp; ", " &amp;$B$1 &amp; ") values (" &amp; A3 &amp; ", '" &amp; B3 &amp; "');"</f>
        <v>INSERT INTO Product_Family(FamilyID, Name) values (130, 'La Belle pots');</v>
      </c>
    </row>
    <row r="4" spans="1:6">
      <c r="A4">
        <v>132</v>
      </c>
      <c r="B4" t="s">
        <v>66</v>
      </c>
      <c r="F4" t="str">
        <f t="shared" si="0"/>
        <v>INSERT INTO Product_Family(FamilyID, Name) values (132, 'Pro Line pans');</v>
      </c>
    </row>
    <row r="5" spans="1:6">
      <c r="A5">
        <v>145</v>
      </c>
      <c r="B5" t="s">
        <v>67</v>
      </c>
      <c r="F5" t="str">
        <f t="shared" si="0"/>
        <v>INSERT INTO Product_Family(FamilyID, Name) values (145, 'Pro Line lids');</v>
      </c>
    </row>
    <row r="6" spans="1:6">
      <c r="A6">
        <v>146</v>
      </c>
      <c r="B6" t="s">
        <v>68</v>
      </c>
      <c r="F6" t="str">
        <f t="shared" si="0"/>
        <v>INSERT INTO Product_Family(FamilyID, Name) values (146, 'Pro Clear lids');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H14"/>
  <sheetViews>
    <sheetView workbookViewId="0">
      <selection activeCell="H2" sqref="H2:H14"/>
    </sheetView>
  </sheetViews>
  <sheetFormatPr defaultRowHeight="15"/>
  <cols>
    <col min="3" max="3" width="18.85546875" customWidth="1"/>
    <col min="4" max="4" width="14.5703125" customWidth="1"/>
  </cols>
  <sheetData>
    <row r="1" spans="1:8">
      <c r="A1" s="3" t="s">
        <v>69</v>
      </c>
      <c r="B1" s="3" t="s">
        <v>0</v>
      </c>
      <c r="C1" s="3" t="s">
        <v>70</v>
      </c>
      <c r="D1" s="3" t="s">
        <v>71</v>
      </c>
      <c r="E1" s="3"/>
      <c r="F1" s="3"/>
      <c r="H1" s="3" t="s">
        <v>72</v>
      </c>
    </row>
    <row r="2" spans="1:8">
      <c r="A2">
        <v>1</v>
      </c>
      <c r="B2">
        <v>785</v>
      </c>
      <c r="C2" s="1">
        <v>45550</v>
      </c>
      <c r="D2" s="1">
        <v>45558</v>
      </c>
      <c r="H2" t="str">
        <f>"INSERT INTO " &amp; $H$1 &amp; " (" &amp; $A$1 &amp; ", " &amp; $B$1 &amp; ", " &amp; $C$1 &amp; ", " &amp; $D$1 &amp; ") VALUES (" &amp; A2 &amp; ", " &amp; B2 &amp; ", TO_DATE('" &amp; TEXT(C2, "dd/mm/yyyy") &amp; "', 'DD/MM/YYYY'), TO_DATE('" &amp; TEXT(D2, "dd/mm/yyyy") &amp; "', 'DD/MM/YYYY'));"</f>
        <v>INSERT INTO Orders (OrderID, ClientID, DateOrder, DateDelivery) VALUES (1, 785, TO_DATE('15/09/2024', 'DD/MM/YYYY'), TO_DATE('23/09/2024', 'DD/MM/YYYY'));</v>
      </c>
    </row>
    <row r="3" spans="1:8">
      <c r="A3">
        <v>1</v>
      </c>
      <c r="B3">
        <v>785</v>
      </c>
      <c r="C3" s="1">
        <v>45550</v>
      </c>
      <c r="D3" s="1">
        <v>45558</v>
      </c>
    </row>
    <row r="4" spans="1:8">
      <c r="A4">
        <v>2</v>
      </c>
      <c r="B4">
        <v>657</v>
      </c>
      <c r="C4" s="1">
        <v>45550</v>
      </c>
      <c r="D4" s="1">
        <v>45561</v>
      </c>
      <c r="H4" t="str">
        <f t="shared" ref="H3:H14" si="0">"INSERT INTO " &amp; $H$1 &amp; " (" &amp; $A$1 &amp; ", " &amp; $B$1 &amp; ", " &amp; $C$1 &amp; ", " &amp; $D$1 &amp; ") VALUES (" &amp; A4 &amp; ", " &amp; B4 &amp; ", TO_DATE('" &amp; TEXT(C4, "dd/mm/yyyy") &amp; "', 'DD/MM/YYYY'), TO_DATE('" &amp; TEXT(D4, "dd/mm/yyyy") &amp; "', 'DD/MM/YYYY'));"</f>
        <v>INSERT INTO Orders (OrderID, ClientID, DateOrder, DateDelivery) VALUES (2, 657, TO_DATE('15/09/2024', 'DD/MM/YYYY'), TO_DATE('26/09/2024', 'DD/MM/YYYY'));</v>
      </c>
    </row>
    <row r="5" spans="1:8">
      <c r="A5">
        <v>2</v>
      </c>
      <c r="B5">
        <v>657</v>
      </c>
      <c r="C5" s="1">
        <v>45550</v>
      </c>
      <c r="D5" s="1">
        <v>45561</v>
      </c>
    </row>
    <row r="6" spans="1:8">
      <c r="A6">
        <v>3</v>
      </c>
      <c r="B6">
        <v>348</v>
      </c>
      <c r="C6" s="1">
        <v>45550</v>
      </c>
      <c r="D6" s="1">
        <v>45560</v>
      </c>
      <c r="H6" t="str">
        <f t="shared" si="0"/>
        <v>INSERT INTO Orders (OrderID, ClientID, DateOrder, DateDelivery) VALUES (3, 348, TO_DATE('15/09/2024', 'DD/MM/YYYY'), TO_DATE('25/09/2024', 'DD/MM/YYYY'));</v>
      </c>
    </row>
    <row r="7" spans="1:8">
      <c r="A7">
        <v>3</v>
      </c>
      <c r="B7">
        <v>348</v>
      </c>
      <c r="C7" s="1">
        <v>45550</v>
      </c>
      <c r="D7" s="1">
        <v>45560</v>
      </c>
    </row>
    <row r="8" spans="1:8">
      <c r="A8">
        <v>4</v>
      </c>
      <c r="B8">
        <v>785</v>
      </c>
      <c r="C8" s="1">
        <v>45553</v>
      </c>
      <c r="D8" s="1">
        <v>45560</v>
      </c>
      <c r="H8" t="str">
        <f t="shared" si="0"/>
        <v>INSERT INTO Orders (OrderID, ClientID, DateOrder, DateDelivery) VALUES (4, 785, TO_DATE('18/09/2024', 'DD/MM/YYYY'), TO_DATE('25/09/2024', 'DD/MM/YYYY'));</v>
      </c>
    </row>
    <row r="9" spans="1:8">
      <c r="A9">
        <v>4</v>
      </c>
      <c r="B9">
        <v>785</v>
      </c>
      <c r="C9" s="1">
        <v>45553</v>
      </c>
      <c r="D9" s="1">
        <v>45560</v>
      </c>
    </row>
    <row r="10" spans="1:8">
      <c r="A10">
        <v>4</v>
      </c>
      <c r="B10">
        <v>785</v>
      </c>
      <c r="C10" s="1">
        <v>45553</v>
      </c>
      <c r="D10" s="1">
        <v>45560</v>
      </c>
    </row>
    <row r="11" spans="1:8">
      <c r="A11">
        <v>5</v>
      </c>
      <c r="B11">
        <v>657</v>
      </c>
      <c r="C11" s="1">
        <v>45553</v>
      </c>
      <c r="D11" s="1">
        <v>45560</v>
      </c>
      <c r="H11" t="str">
        <f t="shared" si="0"/>
        <v>INSERT INTO Orders (OrderID, ClientID, DateOrder, DateDelivery) VALUES (5, 657, TO_DATE('18/09/2024', 'DD/MM/YYYY'), TO_DATE('25/09/2024', 'DD/MM/YYYY'));</v>
      </c>
    </row>
    <row r="12" spans="1:8">
      <c r="A12">
        <v>6</v>
      </c>
      <c r="B12">
        <v>348</v>
      </c>
      <c r="C12" s="1">
        <v>45553</v>
      </c>
      <c r="D12" s="1">
        <v>45561</v>
      </c>
      <c r="H12" t="str">
        <f t="shared" si="0"/>
        <v>INSERT INTO Orders (OrderID, ClientID, DateOrder, DateDelivery) VALUES (6, 348, TO_DATE('18/09/2024', 'DD/MM/YYYY'), TO_DATE('26/09/2024', 'DD/MM/YYYY'));</v>
      </c>
    </row>
    <row r="13" spans="1:8">
      <c r="A13">
        <v>6</v>
      </c>
      <c r="B13">
        <v>348</v>
      </c>
      <c r="C13" s="1">
        <v>45553</v>
      </c>
      <c r="D13" s="1">
        <v>45561</v>
      </c>
    </row>
    <row r="14" spans="1:8">
      <c r="A14">
        <v>7</v>
      </c>
      <c r="B14">
        <v>456</v>
      </c>
      <c r="C14" s="1">
        <v>45556</v>
      </c>
      <c r="D14" s="1">
        <v>45561</v>
      </c>
      <c r="H14" t="str">
        <f t="shared" si="0"/>
        <v>INSERT INTO Orders (OrderID, ClientID, DateOrder, DateDelivery) VALUES (7, 456, TO_DATE('21/09/2024', 'DD/MM/YYYY'), TO_DATE('26/09/2024', 'DD/MM/YYYY'));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C818-15C9-4E6F-B5C3-D0B461DEFFD6}">
  <dimension ref="A1:H14"/>
  <sheetViews>
    <sheetView workbookViewId="0">
      <selection activeCell="H2" sqref="H2:H14"/>
    </sheetView>
  </sheetViews>
  <sheetFormatPr defaultRowHeight="15"/>
  <cols>
    <col min="2" max="2" width="11.7109375" customWidth="1"/>
  </cols>
  <sheetData>
    <row r="1" spans="1:8">
      <c r="A1" t="s">
        <v>69</v>
      </c>
      <c r="B1" t="s">
        <v>38</v>
      </c>
      <c r="C1" t="s">
        <v>73</v>
      </c>
      <c r="H1" t="s">
        <v>74</v>
      </c>
    </row>
    <row r="2" spans="1:8">
      <c r="A2">
        <v>1</v>
      </c>
      <c r="B2" s="4" t="s">
        <v>45</v>
      </c>
      <c r="C2" s="4">
        <v>5</v>
      </c>
      <c r="H2" t="str">
        <f>"INSERT INTO " &amp; $H$1 &amp; "(" &amp; $A$1 &amp; ", " &amp;$B$1 &amp; ", " &amp;$C$1 &amp; ") values (" &amp; A2 &amp; ", '" &amp; B2 &amp; "', " &amp; C2 &amp; ");"</f>
        <v>INSERT INTO Product_Orders(OrderID, ProductID, QuantityProducts) values (1, 'AS12945S22', 5);</v>
      </c>
    </row>
    <row r="3" spans="1:8">
      <c r="A3">
        <v>1</v>
      </c>
      <c r="B3" s="4" t="s">
        <v>48</v>
      </c>
      <c r="C3" s="4">
        <v>15</v>
      </c>
      <c r="H3" t="str">
        <f t="shared" ref="H3:H14" si="0">"INSERT INTO " &amp; $H$1 &amp; "(" &amp; $A$1 &amp; ", " &amp;$B$1 &amp; ", " &amp;$C$1 &amp; ") values (" &amp; A3 &amp; ", '" &amp; B3 &amp; "', " &amp; C3 &amp; ");"</f>
        <v>INSERT INTO Product_Orders(OrderID, ProductID, QuantityProducts) values (1, 'AS12945S20', 15);</v>
      </c>
    </row>
    <row r="4" spans="1:8">
      <c r="A4">
        <v>2</v>
      </c>
      <c r="B4" s="4" t="s">
        <v>45</v>
      </c>
      <c r="C4" s="4">
        <v>10</v>
      </c>
      <c r="H4" t="str">
        <f t="shared" si="0"/>
        <v>INSERT INTO Product_Orders(OrderID, ProductID, QuantityProducts) values (2, 'AS12945S22', 10);</v>
      </c>
    </row>
    <row r="5" spans="1:8">
      <c r="A5">
        <v>2</v>
      </c>
      <c r="B5" s="4" t="s">
        <v>54</v>
      </c>
      <c r="C5" s="4">
        <v>20</v>
      </c>
      <c r="H5" t="str">
        <f t="shared" si="0"/>
        <v>INSERT INTO Product_Orders(OrderID, ProductID, QuantityProducts) values (2, 'AS12945P17', 20);</v>
      </c>
    </row>
    <row r="6" spans="1:8">
      <c r="A6">
        <v>3</v>
      </c>
      <c r="B6" s="4" t="s">
        <v>45</v>
      </c>
      <c r="C6" s="4">
        <v>10</v>
      </c>
      <c r="H6" t="str">
        <f t="shared" si="0"/>
        <v>INSERT INTO Product_Orders(OrderID, ProductID, QuantityProducts) values (3, 'AS12945S22', 10);</v>
      </c>
    </row>
    <row r="7" spans="1:8">
      <c r="A7">
        <v>3</v>
      </c>
      <c r="B7" s="4" t="s">
        <v>48</v>
      </c>
      <c r="C7" s="4">
        <v>10</v>
      </c>
      <c r="H7" t="str">
        <f t="shared" si="0"/>
        <v>INSERT INTO Product_Orders(OrderID, ProductID, QuantityProducts) values (3, 'AS12945S20', 10);</v>
      </c>
    </row>
    <row r="8" spans="1:8">
      <c r="A8">
        <v>4</v>
      </c>
      <c r="B8" s="4" t="s">
        <v>48</v>
      </c>
      <c r="C8" s="4">
        <v>24</v>
      </c>
      <c r="H8" t="str">
        <f t="shared" si="0"/>
        <v>INSERT INTO Product_Orders(OrderID, ProductID, QuantityProducts) values (4, 'AS12945S20', 24);</v>
      </c>
    </row>
    <row r="9" spans="1:8">
      <c r="A9">
        <v>4</v>
      </c>
      <c r="B9" s="4" t="s">
        <v>45</v>
      </c>
      <c r="C9" s="4">
        <v>16</v>
      </c>
      <c r="H9" t="str">
        <f t="shared" si="0"/>
        <v>INSERT INTO Product_Orders(OrderID, ProductID, QuantityProducts) values (4, 'AS12945S22', 16);</v>
      </c>
    </row>
    <row r="10" spans="1:8">
      <c r="A10">
        <v>4</v>
      </c>
      <c r="B10" s="4" t="s">
        <v>51</v>
      </c>
      <c r="C10" s="4">
        <v>8</v>
      </c>
      <c r="H10" t="str">
        <f t="shared" si="0"/>
        <v>INSERT INTO Product_Orders(OrderID, ProductID, QuantityProducts) values (4, 'AS12945S17', 8);</v>
      </c>
    </row>
    <row r="11" spans="1:8">
      <c r="A11">
        <v>5</v>
      </c>
      <c r="B11" s="4" t="s">
        <v>45</v>
      </c>
      <c r="C11" s="4">
        <v>12</v>
      </c>
      <c r="H11" t="str">
        <f t="shared" si="0"/>
        <v>INSERT INTO Product_Orders(OrderID, ProductID, QuantityProducts) values (5, 'AS12945S22', 12);</v>
      </c>
    </row>
    <row r="12" spans="1:8">
      <c r="A12">
        <v>6</v>
      </c>
      <c r="B12" s="4" t="s">
        <v>51</v>
      </c>
      <c r="C12" s="4">
        <v>8</v>
      </c>
      <c r="H12" t="str">
        <f t="shared" si="0"/>
        <v>INSERT INTO Product_Orders(OrderID, ProductID, QuantityProducts) values (6, 'AS12945S17', 8);</v>
      </c>
    </row>
    <row r="13" spans="1:8">
      <c r="A13">
        <v>6</v>
      </c>
      <c r="B13" s="4" t="s">
        <v>54</v>
      </c>
      <c r="C13" s="4">
        <v>16</v>
      </c>
      <c r="H13" t="str">
        <f t="shared" si="0"/>
        <v>INSERT INTO Product_Orders(OrderID, ProductID, QuantityProducts) values (6, 'AS12945P17', 16);</v>
      </c>
    </row>
    <row r="14" spans="1:8">
      <c r="A14">
        <v>7</v>
      </c>
      <c r="B14" s="4" t="s">
        <v>45</v>
      </c>
      <c r="C14" s="4">
        <v>8</v>
      </c>
      <c r="H14" t="str">
        <f t="shared" si="0"/>
        <v>INSERT INTO Product_Orders(OrderID, ProductID, QuantityProducts) values (7, 'AS12945S22', 8);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H19"/>
  <sheetViews>
    <sheetView workbookViewId="0">
      <selection activeCell="H2" sqref="H2:H19"/>
    </sheetView>
  </sheetViews>
  <sheetFormatPr defaultRowHeight="15"/>
  <cols>
    <col min="1" max="1" width="10.5703125" customWidth="1"/>
    <col min="2" max="2" width="23" customWidth="1"/>
    <col min="3" max="5" width="14.42578125" bestFit="1" customWidth="1"/>
  </cols>
  <sheetData>
    <row r="1" spans="1:8">
      <c r="A1" t="s">
        <v>75</v>
      </c>
      <c r="B1" t="s">
        <v>39</v>
      </c>
      <c r="C1" t="s">
        <v>76</v>
      </c>
      <c r="D1" t="s">
        <v>76</v>
      </c>
      <c r="E1" t="s">
        <v>76</v>
      </c>
      <c r="H1" t="s">
        <v>77</v>
      </c>
    </row>
    <row r="2" spans="1:8">
      <c r="A2">
        <v>5647</v>
      </c>
      <c r="B2" t="s">
        <v>78</v>
      </c>
      <c r="C2" t="s">
        <v>79</v>
      </c>
      <c r="D2" t="s">
        <v>80</v>
      </c>
      <c r="E2" t="s">
        <v>81</v>
      </c>
      <c r="H2" t="str">
        <f>"INSERT INTO " &amp; $H$1 &amp; "(" &amp; $A$1 &amp; ", " &amp;$B$1 &amp; ") values (" &amp; A2 &amp; ", '" &amp; B2 &amp; "');"</f>
        <v>INSERT INTO Operation(OPID, Description) values (5647, 'Disc cutting');</v>
      </c>
    </row>
    <row r="3" spans="1:8">
      <c r="A3">
        <v>5649</v>
      </c>
      <c r="B3" t="s">
        <v>82</v>
      </c>
      <c r="C3" t="s">
        <v>80</v>
      </c>
      <c r="D3" t="s">
        <v>81</v>
      </c>
      <c r="H3" t="str">
        <f t="shared" ref="H3:H19" si="0">"INSERT INTO " &amp; $H$1 &amp; "(" &amp; $A$1 &amp; ", " &amp;$B$1 &amp; ") values (" &amp; A3 &amp; ", '" &amp; B3 &amp; "');"</f>
        <v>INSERT INTO Operation(OPID, Description) values (5649, 'Initial pot base pressing');</v>
      </c>
    </row>
    <row r="4" spans="1:8">
      <c r="A4">
        <v>5651</v>
      </c>
      <c r="B4" t="s">
        <v>83</v>
      </c>
      <c r="C4" t="s">
        <v>80</v>
      </c>
      <c r="D4" t="s">
        <v>81</v>
      </c>
      <c r="H4" t="str">
        <f t="shared" si="0"/>
        <v>INSERT INTO Operation(OPID, Description) values (5651, 'Final pot base pressing');</v>
      </c>
    </row>
    <row r="5" spans="1:8">
      <c r="A5">
        <v>5653</v>
      </c>
      <c r="B5" t="s">
        <v>84</v>
      </c>
      <c r="C5" t="s">
        <v>85</v>
      </c>
      <c r="H5" t="str">
        <f t="shared" si="0"/>
        <v>INSERT INTO Operation(OPID, Description) values (5653, 'Pot base finishing');</v>
      </c>
    </row>
    <row r="6" spans="1:8">
      <c r="A6">
        <v>5655</v>
      </c>
      <c r="B6" t="s">
        <v>86</v>
      </c>
      <c r="C6" t="s">
        <v>80</v>
      </c>
      <c r="D6" t="s">
        <v>81</v>
      </c>
      <c r="H6" t="str">
        <f t="shared" si="0"/>
        <v>INSERT INTO Operation(OPID, Description) values (5655, 'Lid pressing');</v>
      </c>
    </row>
    <row r="7" spans="1:8">
      <c r="A7">
        <v>5657</v>
      </c>
      <c r="B7" t="s">
        <v>87</v>
      </c>
      <c r="C7" t="s">
        <v>85</v>
      </c>
      <c r="H7" t="str">
        <f t="shared" si="0"/>
        <v>INSERT INTO Operation(OPID, Description) values (5657, 'Lid finishing');</v>
      </c>
    </row>
    <row r="8" spans="1:8">
      <c r="A8">
        <v>5659</v>
      </c>
      <c r="B8" t="s">
        <v>88</v>
      </c>
      <c r="C8" t="s">
        <v>89</v>
      </c>
      <c r="H8" t="str">
        <f t="shared" si="0"/>
        <v>INSERT INTO Operation(OPID, Description) values (5659, 'Pot handles riveting');</v>
      </c>
    </row>
    <row r="9" spans="1:8">
      <c r="A9">
        <v>5661</v>
      </c>
      <c r="B9" t="s">
        <v>90</v>
      </c>
      <c r="C9" t="s">
        <v>91</v>
      </c>
      <c r="H9" t="str">
        <f t="shared" si="0"/>
        <v>INSERT INTO Operation(OPID, Description) values (5661, 'Lid handle screw');</v>
      </c>
    </row>
    <row r="10" spans="1:8">
      <c r="A10">
        <v>5663</v>
      </c>
      <c r="B10" t="s">
        <v>92</v>
      </c>
      <c r="C10" t="s">
        <v>93</v>
      </c>
      <c r="H10" t="str">
        <f t="shared" si="0"/>
        <v>INSERT INTO Operation(OPID, Description) values (5663, 'Pot test and packaging');</v>
      </c>
    </row>
    <row r="11" spans="1:8">
      <c r="A11">
        <v>5665</v>
      </c>
      <c r="B11" t="s">
        <v>94</v>
      </c>
      <c r="C11" t="s">
        <v>95</v>
      </c>
      <c r="H11" t="str">
        <f t="shared" si="0"/>
        <v>INSERT INTO Operation(OPID, Description) values (5665, 'Handle welding');</v>
      </c>
    </row>
    <row r="12" spans="1:8">
      <c r="A12">
        <v>5667</v>
      </c>
      <c r="B12" t="s">
        <v>96</v>
      </c>
      <c r="C12" t="s">
        <v>97</v>
      </c>
      <c r="H12" t="str">
        <f t="shared" si="0"/>
        <v>INSERT INTO Operation(OPID, Description) values (5667, 'Lid polishing');</v>
      </c>
    </row>
    <row r="13" spans="1:8">
      <c r="A13">
        <v>5669</v>
      </c>
      <c r="B13" t="s">
        <v>98</v>
      </c>
      <c r="C13" t="s">
        <v>97</v>
      </c>
      <c r="H13" t="str">
        <f t="shared" si="0"/>
        <v>INSERT INTO Operation(OPID, Description) values (5669, 'Pot base polishing');</v>
      </c>
    </row>
    <row r="14" spans="1:8">
      <c r="A14">
        <v>5671</v>
      </c>
      <c r="B14" t="s">
        <v>99</v>
      </c>
      <c r="C14" t="s">
        <v>100</v>
      </c>
      <c r="H14" t="str">
        <f t="shared" si="0"/>
        <v>INSERT INTO Operation(OPID, Description) values (5671, 'Teflon painting');</v>
      </c>
    </row>
    <row r="15" spans="1:8">
      <c r="A15">
        <v>5681</v>
      </c>
      <c r="B15" t="s">
        <v>101</v>
      </c>
      <c r="C15" t="s">
        <v>80</v>
      </c>
      <c r="D15" t="s">
        <v>81</v>
      </c>
      <c r="H15" t="str">
        <f t="shared" si="0"/>
        <v>INSERT INTO Operation(OPID, Description) values (5681, 'Initial pan base pressing');</v>
      </c>
    </row>
    <row r="16" spans="1:8">
      <c r="A16">
        <v>5682</v>
      </c>
      <c r="B16" t="s">
        <v>102</v>
      </c>
      <c r="C16" t="s">
        <v>80</v>
      </c>
      <c r="D16" t="s">
        <v>81</v>
      </c>
      <c r="H16" t="str">
        <f t="shared" si="0"/>
        <v>INSERT INTO Operation(OPID, Description) values (5682, 'Final pan base pressing');</v>
      </c>
    </row>
    <row r="17" spans="1:8">
      <c r="A17">
        <v>5683</v>
      </c>
      <c r="B17" t="s">
        <v>103</v>
      </c>
      <c r="C17" t="s">
        <v>85</v>
      </c>
      <c r="H17" t="str">
        <f t="shared" si="0"/>
        <v>INSERT INTO Operation(OPID, Description) values (5683, 'Pan base finishing');</v>
      </c>
    </row>
    <row r="18" spans="1:8">
      <c r="A18">
        <v>5685</v>
      </c>
      <c r="B18" t="s">
        <v>94</v>
      </c>
      <c r="C18" t="s">
        <v>95</v>
      </c>
      <c r="H18" t="str">
        <f t="shared" si="0"/>
        <v>INSERT INTO Operation(OPID, Description) values (5685, 'Handle welding');</v>
      </c>
    </row>
    <row r="19" spans="1:8">
      <c r="A19">
        <v>5688</v>
      </c>
      <c r="B19" t="s">
        <v>104</v>
      </c>
      <c r="C19" t="s">
        <v>93</v>
      </c>
      <c r="H19" t="str">
        <f t="shared" si="0"/>
        <v>INSERT INTO Operation(OPID, Description) values (5688, 'Pan test and packaging');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F14"/>
  <sheetViews>
    <sheetView workbookViewId="0">
      <selection activeCell="F2" sqref="F2:F14"/>
    </sheetView>
  </sheetViews>
  <sheetFormatPr defaultRowHeight="15"/>
  <cols>
    <col min="1" max="1" width="14.5703125" customWidth="1"/>
    <col min="2" max="2" width="27.140625" bestFit="1" customWidth="1"/>
  </cols>
  <sheetData>
    <row r="1" spans="1:6">
      <c r="A1" t="s">
        <v>76</v>
      </c>
      <c r="B1" t="s">
        <v>1</v>
      </c>
      <c r="F1" t="s">
        <v>105</v>
      </c>
    </row>
    <row r="2" spans="1:6">
      <c r="A2" t="s">
        <v>79</v>
      </c>
      <c r="B2" t="s">
        <v>106</v>
      </c>
      <c r="F2" t="str">
        <f>"INSERT INTO " &amp; $F$1 &amp; "(" &amp; $A$1 &amp; ", " &amp;$B$1 &amp; ") values ('" &amp; A2 &amp; "', '" &amp; B2 &amp; "');"</f>
        <v>INSERT INTO WorkstationTypes(WTID, Name) values ('A4578', '600t cold forging stamping press');</v>
      </c>
    </row>
    <row r="3" spans="1:6">
      <c r="A3" t="s">
        <v>80</v>
      </c>
      <c r="B3" t="s">
        <v>107</v>
      </c>
      <c r="F3" t="str">
        <f t="shared" ref="F3:F14" si="0">"INSERT INTO " &amp; $F$1 &amp; "(" &amp; $A$1 &amp; ", " &amp;$B$1 &amp; ") values ('" &amp; A3 &amp; "', '" &amp; B3 &amp; "');"</f>
        <v>INSERT INTO WorkstationTypes(WTID, Name) values ('A4588', '600t cold forging precision stamping press');</v>
      </c>
    </row>
    <row r="4" spans="1:6">
      <c r="A4" t="s">
        <v>81</v>
      </c>
      <c r="B4" t="s">
        <v>108</v>
      </c>
      <c r="F4" t="str">
        <f t="shared" si="0"/>
        <v>INSERT INTO WorkstationTypes(WTID, Name) values ('A4598', '1000t cold forging precision stamping press');</v>
      </c>
    </row>
    <row r="5" spans="1:6">
      <c r="A5" t="s">
        <v>89</v>
      </c>
      <c r="B5" t="s">
        <v>109</v>
      </c>
      <c r="F5" t="str">
        <f t="shared" si="0"/>
        <v>INSERT INTO WorkstationTypes(WTID, Name) values ('S3271', 'Handle rivet');</v>
      </c>
    </row>
    <row r="6" spans="1:6">
      <c r="A6" t="s">
        <v>93</v>
      </c>
      <c r="B6" t="s">
        <v>110</v>
      </c>
      <c r="F6" t="str">
        <f t="shared" si="0"/>
        <v>INSERT INTO WorkstationTypes(WTID, Name) values ('K3675', 'Packaging');</v>
      </c>
    </row>
    <row r="7" spans="1:6">
      <c r="A7" t="s">
        <v>111</v>
      </c>
      <c r="B7" t="s">
        <v>112</v>
      </c>
      <c r="F7" t="str">
        <f t="shared" si="0"/>
        <v>INSERT INTO WorkstationTypes(WTID, Name) values ('K3676', 'Packaging for large itens');</v>
      </c>
    </row>
    <row r="8" spans="1:6">
      <c r="A8" t="s">
        <v>85</v>
      </c>
      <c r="B8" t="s">
        <v>113</v>
      </c>
      <c r="F8" t="str">
        <f t="shared" si="0"/>
        <v>INSERT INTO WorkstationTypes(WTID, Name) values ('C5637', 'Border trimming');</v>
      </c>
    </row>
    <row r="9" spans="1:6">
      <c r="A9" t="s">
        <v>95</v>
      </c>
      <c r="B9" t="s">
        <v>114</v>
      </c>
      <c r="F9" t="str">
        <f t="shared" si="0"/>
        <v>INSERT INTO WorkstationTypes(WTID, Name) values ('D9123', 'Spot welding');</v>
      </c>
    </row>
    <row r="10" spans="1:6">
      <c r="A10" t="s">
        <v>100</v>
      </c>
      <c r="B10" t="s">
        <v>115</v>
      </c>
      <c r="F10" t="str">
        <f t="shared" si="0"/>
        <v>INSERT INTO WorkstationTypes(WTID, Name) values ('Q5478', 'Teflon application station');</v>
      </c>
    </row>
    <row r="11" spans="1:6">
      <c r="A11" t="s">
        <v>97</v>
      </c>
      <c r="B11" t="s">
        <v>116</v>
      </c>
      <c r="F11" t="str">
        <f t="shared" si="0"/>
        <v>INSERT INTO WorkstationTypes(WTID, Name) values ('Q3547', 'Stainless steel polishing');</v>
      </c>
    </row>
    <row r="12" spans="1:6">
      <c r="A12" t="s">
        <v>91</v>
      </c>
      <c r="B12" t="s">
        <v>117</v>
      </c>
      <c r="F12" t="str">
        <f t="shared" si="0"/>
        <v>INSERT INTO WorkstationTypes(WTID, Name) values ('T3452', 'Assembly T1');</v>
      </c>
    </row>
    <row r="13" spans="1:6">
      <c r="A13" t="s">
        <v>118</v>
      </c>
      <c r="B13" t="s">
        <v>119</v>
      </c>
      <c r="F13" t="str">
        <f t="shared" si="0"/>
        <v>INSERT INTO WorkstationTypes(WTID, Name) values ('G9273', 'Circular glass cutting');</v>
      </c>
    </row>
    <row r="14" spans="1:6">
      <c r="A14" t="s">
        <v>120</v>
      </c>
      <c r="B14" t="s">
        <v>121</v>
      </c>
      <c r="F14" t="str">
        <f t="shared" si="0"/>
        <v>INSERT INTO WorkstationTypes(WTID, Name) values ('G9274', 'Glass trimming');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2D13-2535-4799-BF4F-46E93EB00EB9}">
  <dimension ref="A1:E26"/>
  <sheetViews>
    <sheetView workbookViewId="0">
      <selection activeCell="E2" sqref="E2:E26"/>
    </sheetView>
  </sheetViews>
  <sheetFormatPr defaultRowHeight="15"/>
  <sheetData>
    <row r="1" spans="1:5">
      <c r="A1" t="s">
        <v>75</v>
      </c>
      <c r="B1" t="s">
        <v>76</v>
      </c>
      <c r="E1" t="s">
        <v>122</v>
      </c>
    </row>
    <row r="2" spans="1:5">
      <c r="A2" s="4">
        <v>5647</v>
      </c>
      <c r="B2" s="4" t="s">
        <v>79</v>
      </c>
      <c r="C2" s="4"/>
      <c r="D2" s="4"/>
      <c r="E2" t="str">
        <f>"INSERT INTO " &amp; $E$1 &amp; "(" &amp; $A$1 &amp; ", " &amp;$B$1 &amp; ") values (" &amp; A2 &amp; ", '" &amp; B2 &amp; "');"</f>
        <v>INSERT INTO WorkstationTypes_Operation(OPID, WTID) values (5647, 'A4578');</v>
      </c>
    </row>
    <row r="3" spans="1:5">
      <c r="A3" s="4">
        <v>5647</v>
      </c>
      <c r="B3" s="4" t="s">
        <v>80</v>
      </c>
      <c r="E3" t="str">
        <f t="shared" ref="E3:E26" si="0">"INSERT INTO " &amp; $E$1 &amp; "(" &amp; $A$1 &amp; ", " &amp;$B$1 &amp; ") values (" &amp; A3 &amp; ", '" &amp; B3 &amp; "');"</f>
        <v>INSERT INTO WorkstationTypes_Operation(OPID, WTID) values (5647, 'A4588');</v>
      </c>
    </row>
    <row r="4" spans="1:5">
      <c r="A4" s="4">
        <v>5647</v>
      </c>
      <c r="B4" s="4" t="s">
        <v>81</v>
      </c>
      <c r="E4" t="str">
        <f t="shared" si="0"/>
        <v>INSERT INTO WorkstationTypes_Operation(OPID, WTID) values (5647, 'A4598');</v>
      </c>
    </row>
    <row r="5" spans="1:5">
      <c r="A5" s="4">
        <v>5649</v>
      </c>
      <c r="B5" s="4" t="s">
        <v>80</v>
      </c>
      <c r="C5" s="4"/>
      <c r="E5" t="str">
        <f t="shared" si="0"/>
        <v>INSERT INTO WorkstationTypes_Operation(OPID, WTID) values (5649, 'A4588');</v>
      </c>
    </row>
    <row r="6" spans="1:5">
      <c r="A6" s="4">
        <v>5649</v>
      </c>
      <c r="B6" s="4" t="s">
        <v>81</v>
      </c>
      <c r="E6" t="str">
        <f t="shared" si="0"/>
        <v>INSERT INTO WorkstationTypes_Operation(OPID, WTID) values (5649, 'A4598');</v>
      </c>
    </row>
    <row r="7" spans="1:5">
      <c r="A7">
        <v>5651</v>
      </c>
      <c r="B7" s="4" t="s">
        <v>80</v>
      </c>
      <c r="E7" t="str">
        <f t="shared" si="0"/>
        <v>INSERT INTO WorkstationTypes_Operation(OPID, WTID) values (5651, 'A4588');</v>
      </c>
    </row>
    <row r="8" spans="1:5">
      <c r="A8">
        <v>5651</v>
      </c>
      <c r="B8" s="4" t="s">
        <v>81</v>
      </c>
      <c r="E8" t="str">
        <f t="shared" si="0"/>
        <v>INSERT INTO WorkstationTypes_Operation(OPID, WTID) values (5651, 'A4598');</v>
      </c>
    </row>
    <row r="9" spans="1:5">
      <c r="A9" s="4">
        <v>5653</v>
      </c>
      <c r="B9" s="4" t="s">
        <v>85</v>
      </c>
      <c r="E9" t="str">
        <f t="shared" si="0"/>
        <v>INSERT INTO WorkstationTypes_Operation(OPID, WTID) values (5653, 'C5637');</v>
      </c>
    </row>
    <row r="10" spans="1:5">
      <c r="A10" s="4">
        <v>5655</v>
      </c>
      <c r="B10" s="4" t="s">
        <v>80</v>
      </c>
      <c r="E10" t="str">
        <f t="shared" si="0"/>
        <v>INSERT INTO WorkstationTypes_Operation(OPID, WTID) values (5655, 'A4588');</v>
      </c>
    </row>
    <row r="11" spans="1:5">
      <c r="A11" s="4">
        <v>5655</v>
      </c>
      <c r="B11" s="4" t="s">
        <v>81</v>
      </c>
      <c r="E11" t="str">
        <f t="shared" si="0"/>
        <v>INSERT INTO WorkstationTypes_Operation(OPID, WTID) values (5655, 'A4598');</v>
      </c>
    </row>
    <row r="12" spans="1:5">
      <c r="A12" s="4">
        <v>5657</v>
      </c>
      <c r="B12" s="4" t="s">
        <v>85</v>
      </c>
      <c r="E12" t="str">
        <f t="shared" si="0"/>
        <v>INSERT INTO WorkstationTypes_Operation(OPID, WTID) values (5657, 'C5637');</v>
      </c>
    </row>
    <row r="13" spans="1:5">
      <c r="A13" s="4">
        <v>5659</v>
      </c>
      <c r="B13" s="4" t="s">
        <v>89</v>
      </c>
      <c r="E13" t="str">
        <f t="shared" si="0"/>
        <v>INSERT INTO WorkstationTypes_Operation(OPID, WTID) values (5659, 'S3271');</v>
      </c>
    </row>
    <row r="14" spans="1:5">
      <c r="A14" s="4">
        <v>5661</v>
      </c>
      <c r="B14" s="4" t="s">
        <v>91</v>
      </c>
      <c r="E14" t="str">
        <f t="shared" si="0"/>
        <v>INSERT INTO WorkstationTypes_Operation(OPID, WTID) values (5661, 'T3452');</v>
      </c>
    </row>
    <row r="15" spans="1:5">
      <c r="A15" s="4">
        <v>5663</v>
      </c>
      <c r="B15" s="4" t="s">
        <v>93</v>
      </c>
      <c r="E15" t="str">
        <f t="shared" si="0"/>
        <v>INSERT INTO WorkstationTypes_Operation(OPID, WTID) values (5663, 'K3675');</v>
      </c>
    </row>
    <row r="16" spans="1:5">
      <c r="A16" s="4">
        <v>5665</v>
      </c>
      <c r="B16" s="4" t="s">
        <v>95</v>
      </c>
      <c r="E16" t="str">
        <f t="shared" si="0"/>
        <v>INSERT INTO WorkstationTypes_Operation(OPID, WTID) values (5665, 'D9123');</v>
      </c>
    </row>
    <row r="17" spans="1:5">
      <c r="A17" s="4">
        <v>5667</v>
      </c>
      <c r="B17" s="4" t="s">
        <v>97</v>
      </c>
      <c r="E17" t="str">
        <f t="shared" si="0"/>
        <v>INSERT INTO WorkstationTypes_Operation(OPID, WTID) values (5667, 'Q3547');</v>
      </c>
    </row>
    <row r="18" spans="1:5">
      <c r="A18" s="4">
        <v>5669</v>
      </c>
      <c r="B18" s="4" t="s">
        <v>97</v>
      </c>
      <c r="E18" t="str">
        <f t="shared" si="0"/>
        <v>INSERT INTO WorkstationTypes_Operation(OPID, WTID) values (5669, 'Q3547');</v>
      </c>
    </row>
    <row r="19" spans="1:5">
      <c r="A19" s="4">
        <v>5671</v>
      </c>
      <c r="B19" s="4" t="s">
        <v>100</v>
      </c>
      <c r="E19" t="str">
        <f t="shared" si="0"/>
        <v>INSERT INTO WorkstationTypes_Operation(OPID, WTID) values (5671, 'Q5478');</v>
      </c>
    </row>
    <row r="20" spans="1:5">
      <c r="A20" s="4">
        <v>5681</v>
      </c>
      <c r="B20" s="4" t="s">
        <v>80</v>
      </c>
      <c r="E20" t="str">
        <f t="shared" si="0"/>
        <v>INSERT INTO WorkstationTypes_Operation(OPID, WTID) values (5681, 'A4588');</v>
      </c>
    </row>
    <row r="21" spans="1:5">
      <c r="A21" s="4">
        <v>5681</v>
      </c>
      <c r="B21" s="4" t="s">
        <v>81</v>
      </c>
      <c r="E21" t="str">
        <f t="shared" si="0"/>
        <v>INSERT INTO WorkstationTypes_Operation(OPID, WTID) values (5681, 'A4598');</v>
      </c>
    </row>
    <row r="22" spans="1:5">
      <c r="A22" s="4">
        <v>5682</v>
      </c>
      <c r="B22" s="4" t="s">
        <v>80</v>
      </c>
      <c r="E22" t="str">
        <f t="shared" si="0"/>
        <v>INSERT INTO WorkstationTypes_Operation(OPID, WTID) values (5682, 'A4588');</v>
      </c>
    </row>
    <row r="23" spans="1:5">
      <c r="A23" s="4">
        <v>5682</v>
      </c>
      <c r="B23" s="4" t="s">
        <v>81</v>
      </c>
      <c r="E23" t="str">
        <f t="shared" si="0"/>
        <v>INSERT INTO WorkstationTypes_Operation(OPID, WTID) values (5682, 'A4598');</v>
      </c>
    </row>
    <row r="24" spans="1:5">
      <c r="A24" s="4">
        <v>5683</v>
      </c>
      <c r="B24" s="4" t="s">
        <v>85</v>
      </c>
      <c r="E24" t="str">
        <f t="shared" si="0"/>
        <v>INSERT INTO WorkstationTypes_Operation(OPID, WTID) values (5683, 'C5637');</v>
      </c>
    </row>
    <row r="25" spans="1:5">
      <c r="A25" s="4">
        <v>5685</v>
      </c>
      <c r="B25" s="4" t="s">
        <v>95</v>
      </c>
      <c r="E25" t="str">
        <f t="shared" si="0"/>
        <v>INSERT INTO WorkstationTypes_Operation(OPID, WTID) values (5685, 'D9123');</v>
      </c>
    </row>
    <row r="26" spans="1:5">
      <c r="A26" s="4">
        <v>5688</v>
      </c>
      <c r="B26" s="4" t="s">
        <v>93</v>
      </c>
      <c r="E26" t="str">
        <f t="shared" si="0"/>
        <v>INSERT INTO WorkstationTypes_Operation(OPID, WTID) values (5688, 'K3675');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H22"/>
  <sheetViews>
    <sheetView workbookViewId="0">
      <selection activeCell="H2" sqref="H2:H22"/>
    </sheetView>
  </sheetViews>
  <sheetFormatPr defaultRowHeight="15"/>
  <cols>
    <col min="3" max="3" width="14.28515625" customWidth="1"/>
    <col min="4" max="4" width="30.42578125" bestFit="1" customWidth="1"/>
  </cols>
  <sheetData>
    <row r="1" spans="1:8">
      <c r="A1" t="s">
        <v>123</v>
      </c>
      <c r="B1" t="s">
        <v>76</v>
      </c>
      <c r="C1" t="s">
        <v>1</v>
      </c>
      <c r="D1" t="s">
        <v>39</v>
      </c>
      <c r="H1" t="s">
        <v>124</v>
      </c>
    </row>
    <row r="2" spans="1:8">
      <c r="A2">
        <v>9875</v>
      </c>
      <c r="B2" t="s">
        <v>79</v>
      </c>
      <c r="C2" t="s">
        <v>125</v>
      </c>
      <c r="D2" t="s">
        <v>126</v>
      </c>
      <c r="H2" t="str">
        <f>"INSERT INTO " &amp; $H$1 &amp; "(" &amp; $A$1 &amp; ", " &amp;$B$1 &amp; ", " &amp;C$1 &amp; ", " &amp;$D$1 &amp; ") values (" &amp; A2 &amp; ", '" &amp; B2 &amp; "', '" &amp; C2 &amp; "', '" &amp; D2 &amp; "');"</f>
        <v>INSERT INTO Workstations(WSID, WTID, Name, Description) values (9875, 'A4578', 'Press 01', '220-630t cold forging press');</v>
      </c>
    </row>
    <row r="3" spans="1:8">
      <c r="A3">
        <v>9886</v>
      </c>
      <c r="B3" t="s">
        <v>79</v>
      </c>
      <c r="C3" t="s">
        <v>127</v>
      </c>
      <c r="D3" t="s">
        <v>126</v>
      </c>
      <c r="H3" t="str">
        <f t="shared" ref="H3:H22" si="0">"INSERT INTO " &amp; $H$1 &amp; "(" &amp; $A$1 &amp; ", " &amp;$B$1 &amp; ", " &amp;C$1 &amp; ", " &amp;$D$1 &amp; ") values (" &amp; A3 &amp; ", '" &amp; B3 &amp; "', '" &amp; C3 &amp; "', '" &amp; D3 &amp; "');"</f>
        <v>INSERT INTO Workstations(WSID, WTID, Name, Description) values (9886, 'A4578', 'Press 02', '220-630t cold forging press');</v>
      </c>
    </row>
    <row r="4" spans="1:8">
      <c r="A4">
        <v>9847</v>
      </c>
      <c r="B4" t="s">
        <v>80</v>
      </c>
      <c r="C4" t="s">
        <v>128</v>
      </c>
      <c r="D4" t="s">
        <v>129</v>
      </c>
      <c r="H4" t="str">
        <f t="shared" si="0"/>
        <v>INSERT INTO Workstations(WSID, WTID, Name, Description) values (9847, 'A4588', 'Press 03', '220-630t precision cold forging press');</v>
      </c>
    </row>
    <row r="5" spans="1:8">
      <c r="A5">
        <v>9855</v>
      </c>
      <c r="B5" t="s">
        <v>80</v>
      </c>
      <c r="C5" t="s">
        <v>130</v>
      </c>
      <c r="D5" t="s">
        <v>131</v>
      </c>
      <c r="H5" t="str">
        <f t="shared" si="0"/>
        <v>INSERT INTO Workstations(WSID, WTID, Name, Description) values (9855, 'A4588', 'Press 04', '160-1000t precison cold forging press');</v>
      </c>
    </row>
    <row r="6" spans="1:8">
      <c r="A6">
        <v>8541</v>
      </c>
      <c r="B6" t="s">
        <v>89</v>
      </c>
      <c r="C6" t="s">
        <v>132</v>
      </c>
      <c r="D6" t="s">
        <v>133</v>
      </c>
      <c r="H6" t="str">
        <f t="shared" si="0"/>
        <v>INSERT INTO Workstations(WSID, WTID, Name, Description) values (8541, 'S3271', 'Rivet 02', 'Rivet station');</v>
      </c>
    </row>
    <row r="7" spans="1:8">
      <c r="A7">
        <v>8543</v>
      </c>
      <c r="B7" t="s">
        <v>89</v>
      </c>
      <c r="C7" t="s">
        <v>134</v>
      </c>
      <c r="D7" t="s">
        <v>133</v>
      </c>
      <c r="H7" t="str">
        <f t="shared" si="0"/>
        <v>INSERT INTO Workstations(WSID, WTID, Name, Description) values (8543, 'S3271', 'Rivet 03', 'Rivet station');</v>
      </c>
    </row>
    <row r="8" spans="1:8">
      <c r="A8">
        <v>6814</v>
      </c>
      <c r="B8" t="s">
        <v>93</v>
      </c>
      <c r="C8" t="s">
        <v>135</v>
      </c>
      <c r="D8" t="s">
        <v>136</v>
      </c>
      <c r="H8" t="str">
        <f t="shared" si="0"/>
        <v>INSERT INTO Workstations(WSID, WTID, Name, Description) values (6814, 'K3675', 'Packaging 01', 'Packaging station');</v>
      </c>
    </row>
    <row r="9" spans="1:8">
      <c r="A9">
        <v>6815</v>
      </c>
      <c r="B9" t="s">
        <v>93</v>
      </c>
      <c r="C9" t="s">
        <v>137</v>
      </c>
      <c r="D9" t="s">
        <v>136</v>
      </c>
      <c r="H9" t="str">
        <f t="shared" si="0"/>
        <v>INSERT INTO Workstations(WSID, WTID, Name, Description) values (6815, 'K3675', 'Packaging 02', 'Packaging station');</v>
      </c>
    </row>
    <row r="10" spans="1:8">
      <c r="A10">
        <v>6816</v>
      </c>
      <c r="B10" t="s">
        <v>93</v>
      </c>
      <c r="C10" t="s">
        <v>138</v>
      </c>
      <c r="D10" t="s">
        <v>136</v>
      </c>
      <c r="H10" t="str">
        <f t="shared" si="0"/>
        <v>INSERT INTO Workstations(WSID, WTID, Name, Description) values (6816, 'K3675', 'Packaging 03', 'Packaging station');</v>
      </c>
    </row>
    <row r="11" spans="1:8">
      <c r="A11">
        <v>6821</v>
      </c>
      <c r="B11" t="s">
        <v>93</v>
      </c>
      <c r="C11" t="s">
        <v>139</v>
      </c>
      <c r="D11" t="s">
        <v>136</v>
      </c>
      <c r="H11" t="str">
        <f t="shared" si="0"/>
        <v>INSERT INTO Workstations(WSID, WTID, Name, Description) values (6821, 'K3675', 'Packaging 04', 'Packaging station');</v>
      </c>
    </row>
    <row r="12" spans="1:8">
      <c r="A12">
        <v>6822</v>
      </c>
      <c r="B12" t="s">
        <v>111</v>
      </c>
      <c r="C12" t="s">
        <v>140</v>
      </c>
      <c r="D12" t="s">
        <v>136</v>
      </c>
      <c r="H12" t="str">
        <f t="shared" si="0"/>
        <v>INSERT INTO Workstations(WSID, WTID, Name, Description) values (6822, 'K3676', 'Packaging 05', 'Packaging station');</v>
      </c>
    </row>
    <row r="13" spans="1:8">
      <c r="A13">
        <v>8167</v>
      </c>
      <c r="B13" t="s">
        <v>95</v>
      </c>
      <c r="C13" t="s">
        <v>141</v>
      </c>
      <c r="D13" t="s">
        <v>142</v>
      </c>
      <c r="H13" t="str">
        <f t="shared" si="0"/>
        <v>INSERT INTO Workstations(WSID, WTID, Name, Description) values (8167, 'D9123', 'Welding 01', 'Spot welding staion');</v>
      </c>
    </row>
    <row r="14" spans="1:8">
      <c r="A14">
        <v>8170</v>
      </c>
      <c r="B14" t="s">
        <v>95</v>
      </c>
      <c r="C14" t="s">
        <v>143</v>
      </c>
      <c r="D14" t="s">
        <v>142</v>
      </c>
      <c r="H14" t="str">
        <f t="shared" si="0"/>
        <v>INSERT INTO Workstations(WSID, WTID, Name, Description) values (8170, 'D9123', 'Welding 02', 'Spot welding staion');</v>
      </c>
    </row>
    <row r="15" spans="1:8">
      <c r="A15">
        <v>8171</v>
      </c>
      <c r="B15" t="s">
        <v>95</v>
      </c>
      <c r="C15" t="s">
        <v>144</v>
      </c>
      <c r="D15" t="s">
        <v>142</v>
      </c>
      <c r="H15" t="str">
        <f t="shared" si="0"/>
        <v>INSERT INTO Workstations(WSID, WTID, Name, Description) values (8171, 'D9123', 'Welding 03', 'Spot welding staion');</v>
      </c>
    </row>
    <row r="16" spans="1:8">
      <c r="A16">
        <v>7235</v>
      </c>
      <c r="B16" t="s">
        <v>91</v>
      </c>
      <c r="C16" t="s">
        <v>145</v>
      </c>
      <c r="D16" t="s">
        <v>146</v>
      </c>
      <c r="H16" t="str">
        <f t="shared" si="0"/>
        <v>INSERT INTO Workstations(WSID, WTID, Name, Description) values (7235, 'T3452', 'Assembly 01', 'Product assembly station');</v>
      </c>
    </row>
    <row r="17" spans="1:8">
      <c r="A17">
        <v>7236</v>
      </c>
      <c r="B17" t="s">
        <v>91</v>
      </c>
      <c r="C17" t="s">
        <v>147</v>
      </c>
      <c r="D17" t="s">
        <v>146</v>
      </c>
      <c r="H17" t="str">
        <f t="shared" si="0"/>
        <v>INSERT INTO Workstations(WSID, WTID, Name, Description) values (7236, 'T3452', 'Assembly 02', 'Product assembly station');</v>
      </c>
    </row>
    <row r="18" spans="1:8">
      <c r="A18">
        <v>7238</v>
      </c>
      <c r="B18" t="s">
        <v>91</v>
      </c>
      <c r="C18" t="s">
        <v>148</v>
      </c>
      <c r="D18" t="s">
        <v>146</v>
      </c>
      <c r="H18" t="str">
        <f t="shared" si="0"/>
        <v>INSERT INTO Workstations(WSID, WTID, Name, Description) values (7238, 'T3452', 'Assembly 03', 'Product assembly station');</v>
      </c>
    </row>
    <row r="19" spans="1:8">
      <c r="A19">
        <v>5124</v>
      </c>
      <c r="B19" t="s">
        <v>85</v>
      </c>
      <c r="C19" t="s">
        <v>149</v>
      </c>
      <c r="D19" t="s">
        <v>150</v>
      </c>
      <c r="H19" t="str">
        <f t="shared" si="0"/>
        <v>INSERT INTO Workstations(WSID, WTID, Name, Description) values (5124, 'C5637', 'Trimming 01', 'Metal trimming station');</v>
      </c>
    </row>
    <row r="20" spans="1:8">
      <c r="A20">
        <v>4123</v>
      </c>
      <c r="B20" t="s">
        <v>97</v>
      </c>
      <c r="C20" t="s">
        <v>151</v>
      </c>
      <c r="D20" t="s">
        <v>152</v>
      </c>
      <c r="H20" t="str">
        <f t="shared" si="0"/>
        <v>INSERT INTO Workstations(WSID, WTID, Name, Description) values (4123, 'Q3547', 'Polishing 01', 'Metal polishing station');</v>
      </c>
    </row>
    <row r="21" spans="1:8">
      <c r="A21">
        <v>4124</v>
      </c>
      <c r="B21" t="s">
        <v>97</v>
      </c>
      <c r="C21" t="s">
        <v>153</v>
      </c>
      <c r="D21" t="s">
        <v>152</v>
      </c>
      <c r="H21" t="str">
        <f t="shared" si="0"/>
        <v>INSERT INTO Workstations(WSID, WTID, Name, Description) values (4124, 'Q3547', 'Polishing 02', 'Metal polishing station');</v>
      </c>
    </row>
    <row r="22" spans="1:8">
      <c r="A22">
        <v>4125</v>
      </c>
      <c r="B22" t="s">
        <v>97</v>
      </c>
      <c r="C22" t="s">
        <v>154</v>
      </c>
      <c r="D22" t="s">
        <v>152</v>
      </c>
      <c r="H22" t="str">
        <f t="shared" si="0"/>
        <v>INSERT INTO Workstations(WSID, WTID, Name, Description) values (4125, 'Q3547', 'Polishing 03', 'Metal polishing station');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H21"/>
  <sheetViews>
    <sheetView tabSelected="1" workbookViewId="0">
      <selection activeCell="H2" sqref="H2:H22"/>
    </sheetView>
  </sheetViews>
  <sheetFormatPr defaultRowHeight="15"/>
  <cols>
    <col min="1" max="1" width="14.140625" customWidth="1"/>
    <col min="2" max="2" width="17.7109375" customWidth="1"/>
    <col min="3" max="3" width="32.85546875" bestFit="1" customWidth="1"/>
  </cols>
  <sheetData>
    <row r="1" spans="1:8">
      <c r="A1" t="s">
        <v>38</v>
      </c>
      <c r="B1" t="s">
        <v>155</v>
      </c>
      <c r="C1" t="s">
        <v>39</v>
      </c>
      <c r="D1" t="s">
        <v>156</v>
      </c>
      <c r="H1" t="s">
        <v>157</v>
      </c>
    </row>
    <row r="2" spans="1:8">
      <c r="A2" t="s">
        <v>45</v>
      </c>
      <c r="B2" t="s">
        <v>158</v>
      </c>
      <c r="C2" t="s">
        <v>159</v>
      </c>
      <c r="D2">
        <v>1</v>
      </c>
      <c r="H2" t="str">
        <f>"INSERT INTO " &amp; $H$1 &amp; "(" &amp; $A$1 &amp; ", " &amp;$B$1 &amp; ", " &amp;C$1 &amp; ", " &amp;$D$1 &amp; ") values ('" &amp; A2 &amp; "', '" &amp; B2 &amp; "', '" &amp; C2 &amp; "', " &amp; D2 &amp; ");"</f>
        <v>INSERT INTO BOM(ProductID, PartNumber, Description, Quantity) values ('AS12945S22', 'PN12344A21', 'Screw M6 35 mm', 1);</v>
      </c>
    </row>
    <row r="3" spans="1:8">
      <c r="A3" t="s">
        <v>45</v>
      </c>
      <c r="B3" t="s">
        <v>160</v>
      </c>
      <c r="C3" t="s">
        <v>161</v>
      </c>
      <c r="D3">
        <v>1</v>
      </c>
      <c r="H3" t="str">
        <f t="shared" ref="H3:H21" si="0">"INSERT INTO " &amp; $H$1 &amp; "(" &amp; $A$1 &amp; ", " &amp;$B$1 &amp; ", " &amp;C$1 &amp; ", " &amp;$D$1 &amp; ") values ('" &amp; A3 &amp; "', '" &amp; B3 &amp; "', '" &amp; C3 &amp; "', " &amp; D3 &amp; ");"</f>
        <v>INSERT INTO BOM(ProductID, PartNumber, Description, Quantity) values ('AS12945S22', 'PN52384R50', '300x300 mm 5mm stainless steel sheet', 1);</v>
      </c>
    </row>
    <row r="4" spans="1:8">
      <c r="A4" t="s">
        <v>45</v>
      </c>
      <c r="B4" t="s">
        <v>162</v>
      </c>
      <c r="C4" t="s">
        <v>163</v>
      </c>
      <c r="D4">
        <v>1</v>
      </c>
      <c r="H4" t="str">
        <f t="shared" si="0"/>
        <v>INSERT INTO BOM(ProductID, PartNumber, Description, Quantity) values ('AS12945S22', 'PN52384R10', '300x300 mm 1mm stainless steel sheet', 1);</v>
      </c>
    </row>
    <row r="5" spans="1:8">
      <c r="A5" t="s">
        <v>45</v>
      </c>
      <c r="B5" t="s">
        <v>164</v>
      </c>
      <c r="C5" t="s">
        <v>165</v>
      </c>
      <c r="D5">
        <v>4</v>
      </c>
      <c r="H5" t="str">
        <f t="shared" si="0"/>
        <v>INSERT INTO BOM(ProductID, PartNumber, Description, Quantity) values ('AS12945S22', 'PN18544A21', 'Rivet 6 mm', 4);</v>
      </c>
    </row>
    <row r="6" spans="1:8">
      <c r="A6" t="s">
        <v>45</v>
      </c>
      <c r="B6" t="s">
        <v>166</v>
      </c>
      <c r="C6" t="s">
        <v>167</v>
      </c>
      <c r="D6">
        <v>2</v>
      </c>
      <c r="H6" t="str">
        <f t="shared" si="0"/>
        <v>INSERT INTO BOM(ProductID, PartNumber, Description, Quantity) values ('AS12945S22', 'PN18544C21', 'Stainless steel handle model U6', 2);</v>
      </c>
    </row>
    <row r="7" spans="1:8">
      <c r="A7" t="s">
        <v>45</v>
      </c>
      <c r="B7" t="s">
        <v>168</v>
      </c>
      <c r="C7" t="s">
        <v>169</v>
      </c>
      <c r="D7">
        <v>1</v>
      </c>
      <c r="H7" t="str">
        <f t="shared" si="0"/>
        <v>INSERT INTO BOM(ProductID, PartNumber, Description, Quantity) values ('AS12945S22', 'PN18324C54', 'Stainless steel handle model R12', 1);</v>
      </c>
    </row>
    <row r="8" spans="1:8">
      <c r="A8" t="s">
        <v>48</v>
      </c>
      <c r="B8" t="s">
        <v>158</v>
      </c>
      <c r="C8" t="s">
        <v>159</v>
      </c>
      <c r="D8">
        <v>1</v>
      </c>
      <c r="H8" t="str">
        <f t="shared" si="0"/>
        <v>INSERT INTO BOM(ProductID, PartNumber, Description, Quantity) values ('AS12945S20', 'PN12344A21', 'Screw M6 35 mm', 1);</v>
      </c>
    </row>
    <row r="9" spans="1:8">
      <c r="A9" t="s">
        <v>48</v>
      </c>
      <c r="B9" t="s">
        <v>160</v>
      </c>
      <c r="C9" t="s">
        <v>161</v>
      </c>
      <c r="D9">
        <v>1</v>
      </c>
      <c r="H9" t="str">
        <f t="shared" si="0"/>
        <v>INSERT INTO BOM(ProductID, PartNumber, Description, Quantity) values ('AS12945S20', 'PN52384R50', '300x300 mm 5mm stainless steel sheet', 1);</v>
      </c>
    </row>
    <row r="10" spans="1:8">
      <c r="A10" t="s">
        <v>48</v>
      </c>
      <c r="B10" t="s">
        <v>162</v>
      </c>
      <c r="C10" t="s">
        <v>163</v>
      </c>
      <c r="D10">
        <v>1</v>
      </c>
      <c r="H10" t="str">
        <f t="shared" si="0"/>
        <v>INSERT INTO BOM(ProductID, PartNumber, Description, Quantity) values ('AS12945S20', 'PN52384R10', '300x300 mm 1mm stainless steel sheet', 1);</v>
      </c>
    </row>
    <row r="11" spans="1:8">
      <c r="A11" t="s">
        <v>48</v>
      </c>
      <c r="B11" t="s">
        <v>164</v>
      </c>
      <c r="C11" t="s">
        <v>165</v>
      </c>
      <c r="D11">
        <v>4</v>
      </c>
      <c r="H11" t="str">
        <f t="shared" si="0"/>
        <v>INSERT INTO BOM(ProductID, PartNumber, Description, Quantity) values ('AS12945S20', 'PN18544A21', 'Rivet 6 mm', 4);</v>
      </c>
    </row>
    <row r="12" spans="1:8">
      <c r="A12" t="s">
        <v>48</v>
      </c>
      <c r="B12" t="s">
        <v>166</v>
      </c>
      <c r="C12" t="s">
        <v>167</v>
      </c>
      <c r="D12">
        <v>2</v>
      </c>
      <c r="H12" t="str">
        <f t="shared" si="0"/>
        <v>INSERT INTO BOM(ProductID, PartNumber, Description, Quantity) values ('AS12945S20', 'PN18544C21', 'Stainless steel handle model U6', 2);</v>
      </c>
    </row>
    <row r="13" spans="1:8">
      <c r="A13" t="s">
        <v>48</v>
      </c>
      <c r="B13" t="s">
        <v>170</v>
      </c>
      <c r="C13" t="s">
        <v>171</v>
      </c>
      <c r="D13">
        <v>1</v>
      </c>
      <c r="H13" t="str">
        <f t="shared" si="0"/>
        <v>INSERT INTO BOM(ProductID, PartNumber, Description, Quantity) values ('AS12945S20', 'PN18324C51', 'Stainless steel handle model R11', 1);</v>
      </c>
    </row>
    <row r="14" spans="1:8">
      <c r="A14" t="s">
        <v>51</v>
      </c>
      <c r="B14" t="s">
        <v>158</v>
      </c>
      <c r="C14" t="s">
        <v>159</v>
      </c>
      <c r="D14">
        <v>1</v>
      </c>
      <c r="H14" t="str">
        <f t="shared" si="0"/>
        <v>INSERT INTO BOM(ProductID, PartNumber, Description, Quantity) values ('AS12945S17', 'PN12344A21', 'Screw M6 35 mm', 1);</v>
      </c>
    </row>
    <row r="15" spans="1:8">
      <c r="A15" t="s">
        <v>51</v>
      </c>
      <c r="B15" t="s">
        <v>172</v>
      </c>
      <c r="C15" t="s">
        <v>173</v>
      </c>
      <c r="D15">
        <v>1</v>
      </c>
      <c r="H15" t="str">
        <f t="shared" si="0"/>
        <v>INSERT INTO BOM(ProductID, PartNumber, Description, Quantity) values ('AS12945S17', 'PN52384R45', '250x250 mm 5mm stainless steel sheet', 1);</v>
      </c>
    </row>
    <row r="16" spans="1:8">
      <c r="A16" t="s">
        <v>51</v>
      </c>
      <c r="B16" t="s">
        <v>174</v>
      </c>
      <c r="C16" t="s">
        <v>175</v>
      </c>
      <c r="D16">
        <v>1</v>
      </c>
      <c r="H16" t="str">
        <f t="shared" si="0"/>
        <v>INSERT INTO BOM(ProductID, PartNumber, Description, Quantity) values ('AS12945S17', 'PN52384R12', '250x250 mm 1mm stainless steel sheet', 1);</v>
      </c>
    </row>
    <row r="17" spans="1:8">
      <c r="A17" t="s">
        <v>51</v>
      </c>
      <c r="B17" t="s">
        <v>164</v>
      </c>
      <c r="C17" t="s">
        <v>165</v>
      </c>
      <c r="D17">
        <v>4</v>
      </c>
      <c r="H17" t="str">
        <f t="shared" si="0"/>
        <v>INSERT INTO BOM(ProductID, PartNumber, Description, Quantity) values ('AS12945S17', 'PN18544A21', 'Rivet 6 mm', 4);</v>
      </c>
    </row>
    <row r="18" spans="1:8">
      <c r="A18" t="s">
        <v>51</v>
      </c>
      <c r="B18" t="s">
        <v>166</v>
      </c>
      <c r="C18" t="s">
        <v>167</v>
      </c>
      <c r="D18">
        <v>2</v>
      </c>
      <c r="H18" t="str">
        <f t="shared" si="0"/>
        <v>INSERT INTO BOM(ProductID, PartNumber, Description, Quantity) values ('AS12945S17', 'PN18544C21', 'Stainless steel handle model U6', 2);</v>
      </c>
    </row>
    <row r="19" spans="1:8">
      <c r="A19" t="s">
        <v>51</v>
      </c>
      <c r="B19" t="s">
        <v>170</v>
      </c>
      <c r="C19" t="s">
        <v>171</v>
      </c>
      <c r="D19">
        <v>1</v>
      </c>
      <c r="H19" t="str">
        <f t="shared" si="0"/>
        <v>INSERT INTO BOM(ProductID, PartNumber, Description, Quantity) values ('AS12945S17', 'PN18324C51', 'Stainless steel handle model R11', 1);</v>
      </c>
    </row>
    <row r="20" spans="1:8">
      <c r="A20" t="s">
        <v>54</v>
      </c>
      <c r="B20" t="s">
        <v>172</v>
      </c>
      <c r="C20" t="s">
        <v>173</v>
      </c>
      <c r="D20">
        <v>1</v>
      </c>
      <c r="H20" t="str">
        <f t="shared" si="0"/>
        <v>INSERT INTO BOM(ProductID, PartNumber, Description, Quantity) values ('AS12945P17', 'PN52384R45', '250x250 mm 5mm stainless steel sheet', 1);</v>
      </c>
    </row>
    <row r="21" spans="1:8">
      <c r="A21" t="s">
        <v>54</v>
      </c>
      <c r="B21" t="s">
        <v>176</v>
      </c>
      <c r="C21" t="s">
        <v>177</v>
      </c>
      <c r="D21">
        <v>1</v>
      </c>
      <c r="H21" t="str">
        <f t="shared" si="0"/>
        <v>INSERT INTO BOM(ProductID, PartNumber, Description, Quantity) values ('AS12945P17', 'PN18324C91', 'Stainless steel handle model S26', 1);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G18"/>
  <sheetViews>
    <sheetView workbookViewId="0">
      <selection activeCell="R9" sqref="R9"/>
    </sheetView>
  </sheetViews>
  <sheetFormatPr defaultRowHeight="15"/>
  <cols>
    <col min="1" max="1" width="7.85546875" bestFit="1" customWidth="1"/>
    <col min="2" max="2" width="10.85546875" customWidth="1"/>
    <col min="3" max="3" width="9.7109375" bestFit="1" customWidth="1"/>
  </cols>
  <sheetData>
    <row r="1" spans="1:7">
      <c r="A1" t="s">
        <v>40</v>
      </c>
      <c r="B1" t="s">
        <v>75</v>
      </c>
      <c r="C1" t="s">
        <v>178</v>
      </c>
      <c r="G1" t="s">
        <v>179</v>
      </c>
    </row>
    <row r="2" spans="1:7">
      <c r="A2">
        <v>125</v>
      </c>
      <c r="B2">
        <v>5647</v>
      </c>
      <c r="C2">
        <v>1</v>
      </c>
      <c r="G2" t="str">
        <f>"INSERT INTO " &amp; $G$1 &amp; "(" &amp; $A$1 &amp; ", " &amp;$B$1 &amp; ", " &amp;C$1 &amp; ") values (" &amp; A2 &amp; ", " &amp; B2 &amp; ", " &amp; C2 &amp; ");"</f>
        <v>INSERT INTO BOO(FamilyID, OPID, OPNumber) values (125, 5647, 1);</v>
      </c>
    </row>
    <row r="3" spans="1:7">
      <c r="A3">
        <v>125</v>
      </c>
      <c r="B3">
        <v>5647</v>
      </c>
      <c r="C3">
        <v>2</v>
      </c>
      <c r="G3" t="str">
        <f t="shared" ref="G3:G18" si="0">"INSERT INTO " &amp; $G$1 &amp; "(" &amp; $A$1 &amp; ", " &amp;$B$1 &amp; ", " &amp;C$1 &amp; ") values (" &amp; A3 &amp; ", " &amp; B3 &amp; ", " &amp; C3 &amp; ");"</f>
        <v>INSERT INTO BOO(FamilyID, OPID, OPNumber) values (125, 5647, 2);</v>
      </c>
    </row>
    <row r="4" spans="1:7">
      <c r="A4">
        <v>125</v>
      </c>
      <c r="B4">
        <v>5649</v>
      </c>
      <c r="C4">
        <v>3</v>
      </c>
      <c r="G4" t="str">
        <f t="shared" si="0"/>
        <v>INSERT INTO BOO(FamilyID, OPID, OPNumber) values (125, 5649, 3);</v>
      </c>
    </row>
    <row r="5" spans="1:7">
      <c r="A5">
        <v>125</v>
      </c>
      <c r="B5">
        <v>5651</v>
      </c>
      <c r="C5">
        <v>4</v>
      </c>
      <c r="G5" t="str">
        <f t="shared" si="0"/>
        <v>INSERT INTO BOO(FamilyID, OPID, OPNumber) values (125, 5651, 4);</v>
      </c>
    </row>
    <row r="6" spans="1:7">
      <c r="A6">
        <v>125</v>
      </c>
      <c r="B6">
        <v>5653</v>
      </c>
      <c r="C6">
        <v>5</v>
      </c>
      <c r="G6" t="str">
        <f t="shared" si="0"/>
        <v>INSERT INTO BOO(FamilyID, OPID, OPNumber) values (125, 5653, 5);</v>
      </c>
    </row>
    <row r="7" spans="1:7">
      <c r="A7">
        <v>125</v>
      </c>
      <c r="B7">
        <v>5659</v>
      </c>
      <c r="C7">
        <v>6</v>
      </c>
      <c r="G7" t="str">
        <f t="shared" si="0"/>
        <v>INSERT INTO BOO(FamilyID, OPID, OPNumber) values (125, 5659, 6);</v>
      </c>
    </row>
    <row r="8" spans="1:7">
      <c r="A8">
        <v>125</v>
      </c>
      <c r="B8">
        <v>5669</v>
      </c>
      <c r="C8">
        <v>7</v>
      </c>
      <c r="G8" t="str">
        <f t="shared" si="0"/>
        <v>INSERT INTO BOO(FamilyID, OPID, OPNumber) values (125, 5669, 7);</v>
      </c>
    </row>
    <row r="9" spans="1:7">
      <c r="A9">
        <v>125</v>
      </c>
      <c r="B9">
        <v>5655</v>
      </c>
      <c r="C9">
        <v>8</v>
      </c>
      <c r="G9" t="str">
        <f t="shared" si="0"/>
        <v>INSERT INTO BOO(FamilyID, OPID, OPNumber) values (125, 5655, 8);</v>
      </c>
    </row>
    <row r="10" spans="1:7">
      <c r="A10">
        <v>125</v>
      </c>
      <c r="B10">
        <v>5657</v>
      </c>
      <c r="C10">
        <v>9</v>
      </c>
      <c r="G10" t="str">
        <f t="shared" si="0"/>
        <v>INSERT INTO BOO(FamilyID, OPID, OPNumber) values (125, 5657, 9);</v>
      </c>
    </row>
    <row r="11" spans="1:7">
      <c r="A11">
        <v>125</v>
      </c>
      <c r="B11">
        <v>5661</v>
      </c>
      <c r="C11">
        <v>10</v>
      </c>
      <c r="G11" t="str">
        <f t="shared" si="0"/>
        <v>INSERT INTO BOO(FamilyID, OPID, OPNumber) values (125, 5661, 10);</v>
      </c>
    </row>
    <row r="12" spans="1:7">
      <c r="A12">
        <v>125</v>
      </c>
      <c r="B12">
        <v>5667</v>
      </c>
      <c r="C12">
        <v>11</v>
      </c>
      <c r="G12" t="str">
        <f t="shared" si="0"/>
        <v>INSERT INTO BOO(FamilyID, OPID, OPNumber) values (125, 5667, 11);</v>
      </c>
    </row>
    <row r="13" spans="1:7">
      <c r="A13">
        <v>125</v>
      </c>
      <c r="B13">
        <v>5663</v>
      </c>
      <c r="C13">
        <v>12</v>
      </c>
      <c r="G13" t="str">
        <f t="shared" si="0"/>
        <v>INSERT INTO BOO(FamilyID, OPID, OPNumber) values (125, 5663, 12);</v>
      </c>
    </row>
    <row r="14" spans="1:7">
      <c r="A14">
        <v>132</v>
      </c>
      <c r="B14">
        <v>5681</v>
      </c>
      <c r="C14">
        <v>1</v>
      </c>
      <c r="G14" t="str">
        <f t="shared" si="0"/>
        <v>INSERT INTO BOO(FamilyID, OPID, OPNumber) values (132, 5681, 1);</v>
      </c>
    </row>
    <row r="15" spans="1:7">
      <c r="A15">
        <v>132</v>
      </c>
      <c r="B15">
        <v>5682</v>
      </c>
      <c r="C15">
        <v>2</v>
      </c>
      <c r="G15" t="str">
        <f t="shared" si="0"/>
        <v>INSERT INTO BOO(FamilyID, OPID, OPNumber) values (132, 5682, 2);</v>
      </c>
    </row>
    <row r="16" spans="1:7">
      <c r="A16">
        <v>132</v>
      </c>
      <c r="B16">
        <v>5683</v>
      </c>
      <c r="C16">
        <v>3</v>
      </c>
      <c r="G16" t="str">
        <f t="shared" si="0"/>
        <v>INSERT INTO BOO(FamilyID, OPID, OPNumber) values (132, 5683, 3);</v>
      </c>
    </row>
    <row r="17" spans="1:7">
      <c r="A17">
        <v>132</v>
      </c>
      <c r="B17">
        <v>5685</v>
      </c>
      <c r="C17">
        <v>4</v>
      </c>
      <c r="G17" t="str">
        <f t="shared" si="0"/>
        <v>INSERT INTO BOO(FamilyID, OPID, OPNumber) values (132, 5685, 4);</v>
      </c>
    </row>
    <row r="18" spans="1:7">
      <c r="A18">
        <v>132</v>
      </c>
      <c r="B18">
        <v>5688</v>
      </c>
      <c r="C18">
        <v>5</v>
      </c>
      <c r="G18" t="str">
        <f t="shared" si="0"/>
        <v>INSERT INTO BOO(FamilyID, OPID, OPNumber) values (132, 5688, 5);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64391778E2B4FBABC02A2DE5CC80E" ma:contentTypeVersion="8" ma:contentTypeDescription="Create a new document." ma:contentTypeScope="" ma:versionID="9513bab04651d49b9d943b31a776e1b2">
  <xsd:schema xmlns:xsd="http://www.w3.org/2001/XMLSchema" xmlns:xs="http://www.w3.org/2001/XMLSchema" xmlns:p="http://schemas.microsoft.com/office/2006/metadata/properties" xmlns:ns3="b163ee49-d5ca-4566-8d9a-132778b8595f" xmlns:ns4="bd9de7ca-1bc7-4476-8342-8c6da5362d49" targetNamespace="http://schemas.microsoft.com/office/2006/metadata/properties" ma:root="true" ma:fieldsID="b73ec6e467668ace6e7ffadc25433416" ns3:_="" ns4:_="">
    <xsd:import namespace="b163ee49-d5ca-4566-8d9a-132778b8595f"/>
    <xsd:import namespace="bd9de7ca-1bc7-4476-8342-8c6da5362d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3ee49-d5ca-4566-8d9a-132778b85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de7ca-1bc7-4476-8342-8c6da5362d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63ee49-d5ca-4566-8d9a-132778b8595f" xsi:nil="true"/>
  </documentManagement>
</p:properties>
</file>

<file path=customXml/itemProps1.xml><?xml version="1.0" encoding="utf-8"?>
<ds:datastoreItem xmlns:ds="http://schemas.openxmlformats.org/officeDocument/2006/customXml" ds:itemID="{C6CAACFA-6488-43C2-9381-E223644F344D}"/>
</file>

<file path=customXml/itemProps2.xml><?xml version="1.0" encoding="utf-8"?>
<ds:datastoreItem xmlns:ds="http://schemas.openxmlformats.org/officeDocument/2006/customXml" ds:itemID="{DCA55BBC-0B1E-48C6-85C4-142FA0BE16C0}"/>
</file>

<file path=customXml/itemProps3.xml><?xml version="1.0" encoding="utf-8"?>
<ds:datastoreItem xmlns:ds="http://schemas.openxmlformats.org/officeDocument/2006/customXml" ds:itemID="{29F7487B-2300-437D-9DAA-E81655915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Martins</dc:creator>
  <cp:keywords/>
  <dc:description/>
  <cp:lastModifiedBy/>
  <cp:revision/>
  <dcterms:created xsi:type="dcterms:W3CDTF">2024-10-15T18:17:29Z</dcterms:created>
  <dcterms:modified xsi:type="dcterms:W3CDTF">2024-10-27T12:52:38Z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0x01010076764391778E2B4FBABC02A2DE5CC80E</vt:lpwstr>
  </property>
</Properties>
</file>